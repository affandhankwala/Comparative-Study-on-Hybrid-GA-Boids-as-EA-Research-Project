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mm\Documents\JHU-Masters\Fall_2025\605.747 Evolutionary and Swarm Intelligence\Research_Paper\"/>
    </mc:Choice>
  </mc:AlternateContent>
  <xr:revisionPtr revIDLastSave="0" documentId="13_ncr:1_{6B2BF9B7-1769-483D-A19D-FE136C959FC7}" xr6:coauthVersionLast="47" xr6:coauthVersionMax="47" xr10:uidLastSave="{00000000-0000-0000-0000-000000000000}"/>
  <bookViews>
    <workbookView xWindow="-120" yWindow="-120" windowWidth="38640" windowHeight="21120" activeTab="5" xr2:uid="{AC906F26-47A0-43D2-873F-7153F20E7B6C}"/>
  </bookViews>
  <sheets>
    <sheet name="GA" sheetId="1" r:id="rId1"/>
    <sheet name="PSO" sheetId="2" r:id="rId2"/>
    <sheet name="FIPS" sheetId="3" r:id="rId3"/>
    <sheet name="Hybrid_PSO" sheetId="4" r:id="rId4"/>
    <sheet name="GA-Boids" sheetId="5" r:id="rId5"/>
    <sheet name="Resul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6" l="1"/>
  <c r="D42" i="6"/>
  <c r="E42" i="6"/>
  <c r="C43" i="6"/>
  <c r="D43" i="6"/>
  <c r="E43" i="6"/>
  <c r="C44" i="6"/>
  <c r="D44" i="6"/>
  <c r="E44" i="6"/>
  <c r="E41" i="6"/>
  <c r="D41" i="6"/>
  <c r="C41" i="6"/>
  <c r="E38" i="6"/>
  <c r="C39" i="6"/>
  <c r="C38" i="6"/>
  <c r="D38" i="6"/>
  <c r="D39" i="6"/>
  <c r="E39" i="6"/>
  <c r="C40" i="6"/>
  <c r="D40" i="6"/>
  <c r="E40" i="6"/>
  <c r="E37" i="6"/>
  <c r="D37" i="6"/>
  <c r="C37" i="6"/>
  <c r="C34" i="6"/>
  <c r="D34" i="6"/>
  <c r="E34" i="6"/>
  <c r="C35" i="6"/>
  <c r="D35" i="6"/>
  <c r="E35" i="6"/>
  <c r="C36" i="6"/>
  <c r="D36" i="6"/>
  <c r="E36" i="6"/>
  <c r="E33" i="6"/>
  <c r="D33" i="6"/>
  <c r="C33" i="6"/>
  <c r="V50" i="6"/>
  <c r="W50" i="6"/>
  <c r="V51" i="6"/>
  <c r="W51" i="6"/>
  <c r="V52" i="6"/>
  <c r="W52" i="6"/>
  <c r="V53" i="6"/>
  <c r="W53" i="6"/>
  <c r="V54" i="6"/>
  <c r="W54" i="6"/>
  <c r="V55" i="6"/>
  <c r="W55" i="6"/>
  <c r="V56" i="6"/>
  <c r="W56" i="6"/>
  <c r="V57" i="6"/>
  <c r="W57" i="6"/>
  <c r="V58" i="6"/>
  <c r="W58" i="6"/>
  <c r="V59" i="6"/>
  <c r="W59" i="6"/>
  <c r="V60" i="6"/>
  <c r="W60" i="6"/>
  <c r="V61" i="6"/>
  <c r="W61" i="6"/>
  <c r="U51" i="6"/>
  <c r="U52" i="6"/>
  <c r="U53" i="6"/>
  <c r="U54" i="6"/>
  <c r="U55" i="6"/>
  <c r="U56" i="6"/>
  <c r="U57" i="6"/>
  <c r="U58" i="6"/>
  <c r="U59" i="6"/>
  <c r="U60" i="6"/>
  <c r="U61" i="6"/>
  <c r="U50" i="6"/>
  <c r="V33" i="6"/>
  <c r="W33" i="6"/>
  <c r="V34" i="6"/>
  <c r="W34" i="6"/>
  <c r="V35" i="6"/>
  <c r="W35" i="6"/>
  <c r="V36" i="6"/>
  <c r="W36" i="6"/>
  <c r="V37" i="6"/>
  <c r="W37" i="6"/>
  <c r="V38" i="6"/>
  <c r="W38" i="6"/>
  <c r="V39" i="6"/>
  <c r="W39" i="6"/>
  <c r="V40" i="6"/>
  <c r="W40" i="6"/>
  <c r="V41" i="6"/>
  <c r="W41" i="6"/>
  <c r="V42" i="6"/>
  <c r="W42" i="6"/>
  <c r="V43" i="6"/>
  <c r="W43" i="6"/>
  <c r="V44" i="6"/>
  <c r="W44" i="6"/>
  <c r="U34" i="6"/>
  <c r="U35" i="6"/>
  <c r="U36" i="6"/>
  <c r="U37" i="6"/>
  <c r="U38" i="6"/>
  <c r="U39" i="6"/>
  <c r="U40" i="6"/>
  <c r="U41" i="6"/>
  <c r="U42" i="6"/>
  <c r="U43" i="6"/>
  <c r="U44" i="6"/>
  <c r="U33" i="6"/>
  <c r="K41" i="6"/>
  <c r="I37" i="6"/>
  <c r="I35" i="6"/>
  <c r="I34" i="6"/>
  <c r="N28" i="6"/>
  <c r="K43" i="6" s="1"/>
  <c r="M28" i="6"/>
  <c r="L28" i="6"/>
  <c r="K34" i="6" s="1"/>
  <c r="N27" i="6"/>
  <c r="K44" i="6" s="1"/>
  <c r="M27" i="6"/>
  <c r="L27" i="6"/>
  <c r="N26" i="6"/>
  <c r="M26" i="6"/>
  <c r="L26" i="6"/>
  <c r="N25" i="6"/>
  <c r="M25" i="6"/>
  <c r="L25" i="6"/>
  <c r="N24" i="6"/>
  <c r="M24" i="6"/>
  <c r="L24" i="6"/>
  <c r="N18" i="6"/>
  <c r="J41" i="6" s="1"/>
  <c r="M18" i="6"/>
  <c r="J37" i="6" s="1"/>
  <c r="L18" i="6"/>
  <c r="J34" i="6" s="1"/>
  <c r="N17" i="6"/>
  <c r="J44" i="6" s="1"/>
  <c r="M17" i="6"/>
  <c r="L17" i="6"/>
  <c r="N16" i="6"/>
  <c r="M16" i="6"/>
  <c r="L16" i="6"/>
  <c r="N15" i="6"/>
  <c r="M15" i="6"/>
  <c r="L15" i="6"/>
  <c r="N14" i="6"/>
  <c r="M14" i="6"/>
  <c r="L14" i="6"/>
  <c r="N8" i="6"/>
  <c r="I41" i="6" s="1"/>
  <c r="M8" i="6"/>
  <c r="I40" i="6" s="1"/>
  <c r="L8" i="6"/>
  <c r="I33" i="6" s="1"/>
  <c r="N7" i="6"/>
  <c r="I44" i="6" s="1"/>
  <c r="M7" i="6"/>
  <c r="L7" i="6"/>
  <c r="N6" i="6"/>
  <c r="M6" i="6"/>
  <c r="N5" i="6"/>
  <c r="M5" i="6"/>
  <c r="L5" i="6"/>
  <c r="L6" i="6"/>
  <c r="N4" i="6"/>
  <c r="M4" i="6"/>
  <c r="L4" i="6"/>
  <c r="N64" i="5"/>
  <c r="M64" i="5"/>
  <c r="L64" i="5"/>
  <c r="I64" i="5"/>
  <c r="H64" i="5"/>
  <c r="G64" i="5"/>
  <c r="D64" i="5"/>
  <c r="C64" i="5"/>
  <c r="B64" i="5"/>
  <c r="N59" i="4"/>
  <c r="M59" i="4"/>
  <c r="L59" i="4"/>
  <c r="I59" i="4"/>
  <c r="H59" i="4"/>
  <c r="G59" i="4"/>
  <c r="D59" i="4"/>
  <c r="C59" i="4"/>
  <c r="B59" i="4"/>
  <c r="N58" i="3"/>
  <c r="M58" i="3"/>
  <c r="L58" i="3"/>
  <c r="I58" i="3"/>
  <c r="H58" i="3"/>
  <c r="G58" i="3"/>
  <c r="D58" i="3"/>
  <c r="C58" i="3"/>
  <c r="B58" i="3"/>
  <c r="N58" i="2"/>
  <c r="M58" i="2"/>
  <c r="L58" i="2"/>
  <c r="I58" i="2"/>
  <c r="H58" i="2"/>
  <c r="G58" i="2"/>
  <c r="D58" i="2"/>
  <c r="C58" i="2"/>
  <c r="B58" i="2"/>
  <c r="N58" i="1"/>
  <c r="M58" i="1"/>
  <c r="L58" i="1"/>
  <c r="I58" i="1"/>
  <c r="H58" i="1"/>
  <c r="G58" i="1"/>
  <c r="C58" i="1"/>
  <c r="D58" i="1"/>
  <c r="B58" i="1"/>
  <c r="I28" i="6"/>
  <c r="H28" i="6"/>
  <c r="G28" i="6"/>
  <c r="I27" i="6"/>
  <c r="H27" i="6"/>
  <c r="G27" i="6"/>
  <c r="I26" i="6"/>
  <c r="I25" i="6"/>
  <c r="H26" i="6"/>
  <c r="G26" i="6"/>
  <c r="H25" i="6"/>
  <c r="G25" i="6"/>
  <c r="I18" i="6"/>
  <c r="H18" i="6"/>
  <c r="G18" i="6"/>
  <c r="I17" i="6"/>
  <c r="H17" i="6"/>
  <c r="G17" i="6"/>
  <c r="I16" i="6"/>
  <c r="H16" i="6"/>
  <c r="G16" i="6"/>
  <c r="H15" i="6"/>
  <c r="I15" i="6"/>
  <c r="G15" i="6"/>
  <c r="I8" i="6"/>
  <c r="H8" i="6"/>
  <c r="G8" i="6"/>
  <c r="I7" i="6"/>
  <c r="H7" i="6"/>
  <c r="G7" i="6"/>
  <c r="I6" i="6"/>
  <c r="H6" i="6"/>
  <c r="G6" i="6"/>
  <c r="I5" i="6"/>
  <c r="H5" i="6"/>
  <c r="G5" i="6"/>
  <c r="I24" i="6"/>
  <c r="H24" i="6"/>
  <c r="G24" i="6"/>
  <c r="I14" i="6"/>
  <c r="H14" i="6"/>
  <c r="G14" i="6"/>
  <c r="I4" i="6"/>
  <c r="H4" i="6"/>
  <c r="G4" i="6"/>
  <c r="D56" i="1"/>
  <c r="N56" i="3"/>
  <c r="B28" i="6"/>
  <c r="D27" i="6"/>
  <c r="C27" i="6"/>
  <c r="B27" i="6"/>
  <c r="C26" i="6"/>
  <c r="B26" i="6"/>
  <c r="D25" i="6"/>
  <c r="C25" i="6"/>
  <c r="B25" i="6"/>
  <c r="D24" i="6"/>
  <c r="C24" i="6"/>
  <c r="B24" i="6"/>
  <c r="B18" i="6"/>
  <c r="D17" i="6"/>
  <c r="C17" i="6"/>
  <c r="C16" i="6"/>
  <c r="B16" i="6"/>
  <c r="D15" i="6"/>
  <c r="C15" i="6"/>
  <c r="B15" i="6"/>
  <c r="D14" i="6"/>
  <c r="C14" i="6"/>
  <c r="B14" i="6"/>
  <c r="B8" i="6"/>
  <c r="D7" i="6"/>
  <c r="C7" i="6"/>
  <c r="B7" i="6"/>
  <c r="C6" i="6"/>
  <c r="B6" i="6"/>
  <c r="D5" i="6"/>
  <c r="C5" i="6"/>
  <c r="B5" i="6"/>
  <c r="B4" i="6"/>
  <c r="N57" i="3"/>
  <c r="D26" i="6" s="1"/>
  <c r="M57" i="3"/>
  <c r="L57" i="3"/>
  <c r="M56" i="3"/>
  <c r="L56" i="3"/>
  <c r="I57" i="3"/>
  <c r="D16" i="6" s="1"/>
  <c r="H57" i="3"/>
  <c r="G57" i="3"/>
  <c r="I56" i="3"/>
  <c r="H56" i="3"/>
  <c r="G56" i="3"/>
  <c r="D57" i="3"/>
  <c r="D6" i="6" s="1"/>
  <c r="D56" i="3"/>
  <c r="C57" i="3"/>
  <c r="C56" i="3"/>
  <c r="N57" i="2"/>
  <c r="M57" i="2"/>
  <c r="L57" i="2"/>
  <c r="N56" i="2"/>
  <c r="M56" i="2"/>
  <c r="L56" i="2"/>
  <c r="I57" i="2"/>
  <c r="H57" i="2"/>
  <c r="G57" i="2"/>
  <c r="I56" i="2"/>
  <c r="H56" i="2"/>
  <c r="G56" i="2"/>
  <c r="D57" i="2"/>
  <c r="D56" i="2"/>
  <c r="C57" i="2"/>
  <c r="C56" i="2"/>
  <c r="N63" i="5"/>
  <c r="D28" i="6" s="1"/>
  <c r="M63" i="5"/>
  <c r="C28" i="6" s="1"/>
  <c r="L63" i="5"/>
  <c r="I63" i="5"/>
  <c r="D18" i="6" s="1"/>
  <c r="H63" i="5"/>
  <c r="C18" i="6" s="1"/>
  <c r="G63" i="5"/>
  <c r="D63" i="5"/>
  <c r="D8" i="6" s="1"/>
  <c r="C63" i="5"/>
  <c r="C8" i="6" s="1"/>
  <c r="B63" i="5"/>
  <c r="N62" i="5"/>
  <c r="M62" i="5"/>
  <c r="L62" i="5"/>
  <c r="I62" i="5"/>
  <c r="H62" i="5"/>
  <c r="G62" i="5"/>
  <c r="D62" i="5"/>
  <c r="C62" i="5"/>
  <c r="B62" i="5"/>
  <c r="D57" i="1"/>
  <c r="D4" i="6" s="1"/>
  <c r="C57" i="1"/>
  <c r="C4" i="6" s="1"/>
  <c r="B57" i="1"/>
  <c r="C56" i="1"/>
  <c r="B56" i="1"/>
  <c r="I57" i="1"/>
  <c r="H57" i="1"/>
  <c r="G57" i="1"/>
  <c r="I56" i="1"/>
  <c r="H56" i="1"/>
  <c r="G56" i="1"/>
  <c r="N57" i="1"/>
  <c r="N56" i="1"/>
  <c r="N58" i="4"/>
  <c r="M58" i="4"/>
  <c r="L58" i="4"/>
  <c r="I58" i="4"/>
  <c r="H58" i="4"/>
  <c r="G58" i="4"/>
  <c r="B17" i="6" s="1"/>
  <c r="D58" i="4"/>
  <c r="C58" i="4"/>
  <c r="B58" i="4"/>
  <c r="N57" i="4"/>
  <c r="M57" i="4"/>
  <c r="L57" i="4"/>
  <c r="I57" i="4"/>
  <c r="H57" i="4"/>
  <c r="G57" i="4"/>
  <c r="D57" i="4"/>
  <c r="C57" i="4"/>
  <c r="B57" i="4"/>
  <c r="B57" i="3"/>
  <c r="B56" i="3"/>
  <c r="B57" i="2"/>
  <c r="B56" i="2"/>
  <c r="M57" i="1"/>
  <c r="L57" i="1"/>
  <c r="M56" i="1"/>
  <c r="L56" i="1"/>
  <c r="J40" i="6" l="1"/>
  <c r="I43" i="6"/>
  <c r="J33" i="6"/>
  <c r="K39" i="6"/>
  <c r="K42" i="6"/>
  <c r="K37" i="6"/>
  <c r="K33" i="6"/>
  <c r="J39" i="6"/>
  <c r="J42" i="6"/>
  <c r="K40" i="6"/>
  <c r="K36" i="6"/>
  <c r="I39" i="6"/>
  <c r="I42" i="6"/>
  <c r="J36" i="6"/>
  <c r="I38" i="6"/>
  <c r="I36" i="6"/>
  <c r="J38" i="6"/>
  <c r="J35" i="6"/>
  <c r="J43" i="6"/>
  <c r="K38" i="6"/>
  <c r="K35" i="6"/>
</calcChain>
</file>

<file path=xl/sharedStrings.xml><?xml version="1.0" encoding="utf-8"?>
<sst xmlns="http://schemas.openxmlformats.org/spreadsheetml/2006/main" count="418" uniqueCount="47">
  <si>
    <t>GA</t>
  </si>
  <si>
    <t>Sphere</t>
  </si>
  <si>
    <t>Rosenbrock</t>
  </si>
  <si>
    <t>Rastrigin</t>
  </si>
  <si>
    <t>Trial</t>
  </si>
  <si>
    <t>AVG</t>
  </si>
  <si>
    <t>PSO</t>
  </si>
  <si>
    <t>Hybrid PSO</t>
  </si>
  <si>
    <t>FIPS</t>
  </si>
  <si>
    <t>D = 5</t>
  </si>
  <si>
    <t>D = 30</t>
  </si>
  <si>
    <t>D = 100</t>
  </si>
  <si>
    <t>MUTATION RATE</t>
  </si>
  <si>
    <t>MR</t>
  </si>
  <si>
    <t>W</t>
  </si>
  <si>
    <t>C1</t>
  </si>
  <si>
    <t>C2</t>
  </si>
  <si>
    <t>MED</t>
  </si>
  <si>
    <t>C</t>
  </si>
  <si>
    <t>K</t>
  </si>
  <si>
    <t>COHESION WEIGHT</t>
  </si>
  <si>
    <t>SEPARATION WEIGHT</t>
  </si>
  <si>
    <t>GLOBAL BEST ATTRACTION</t>
  </si>
  <si>
    <t>NEIGHBOR RADIUS</t>
  </si>
  <si>
    <t>CROSSOVER RATE</t>
  </si>
  <si>
    <t>ELITE COUNT</t>
  </si>
  <si>
    <t>ALIGNMENT WEIGHT</t>
  </si>
  <si>
    <t>GA-BOIDS</t>
  </si>
  <si>
    <t>MURATION RATE</t>
  </si>
  <si>
    <t>Algorithm</t>
  </si>
  <si>
    <t>GA Boids</t>
  </si>
  <si>
    <t>D=5</t>
  </si>
  <si>
    <t>D=30</t>
  </si>
  <si>
    <t>D=100</t>
  </si>
  <si>
    <t>Medians</t>
  </si>
  <si>
    <t>Means</t>
  </si>
  <si>
    <t>VAR_S</t>
  </si>
  <si>
    <t>Variances</t>
  </si>
  <si>
    <t>t-test comparing GA-Boids with other algorithms</t>
  </si>
  <si>
    <t>df</t>
  </si>
  <si>
    <t>t</t>
  </si>
  <si>
    <t>different</t>
  </si>
  <si>
    <t>Statistically different</t>
  </si>
  <si>
    <t>1-sided p</t>
  </si>
  <si>
    <t>2-sided p</t>
  </si>
  <si>
    <t>better</t>
  </si>
  <si>
    <t>Comp. 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</si>
</sst>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1" fontId="0" fillId="0" borderId="1" xfId="0" applyNumberFormat="1" applyBorder="1"/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11" fontId="0" fillId="8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2" fontId="0" fillId="8" borderId="1" xfId="0" applyNumberFormat="1" applyFill="1" applyBorder="1"/>
    <xf numFmtId="0" fontId="3" fillId="9" borderId="1" xfId="0" applyFont="1" applyFill="1" applyBorder="1"/>
    <xf numFmtId="0" fontId="3" fillId="10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C18C-2CDE-401D-B68E-350AAC4E7C11}">
  <dimension ref="A1:N58"/>
  <sheetViews>
    <sheetView topLeftCell="B20" workbookViewId="0">
      <selection activeCell="M58" sqref="M58"/>
    </sheetView>
  </sheetViews>
  <sheetFormatPr defaultRowHeight="15" x14ac:dyDescent="0.25"/>
  <cols>
    <col min="1" max="1" width="12.85546875" customWidth="1"/>
    <col min="2" max="3" width="12" bestFit="1" customWidth="1"/>
    <col min="6" max="6" width="13.7109375" customWidth="1"/>
    <col min="7" max="8" width="12" bestFit="1" customWidth="1"/>
    <col min="11" max="11" width="12.85546875" customWidth="1"/>
    <col min="12" max="14" width="12" bestFit="1" customWidth="1"/>
  </cols>
  <sheetData>
    <row r="1" spans="1:14" ht="30" x14ac:dyDescent="0.25">
      <c r="A1" s="8" t="s">
        <v>24</v>
      </c>
      <c r="B1" s="6">
        <v>0.9</v>
      </c>
      <c r="C1" s="6">
        <v>0.9</v>
      </c>
      <c r="D1" s="6">
        <v>0.9</v>
      </c>
      <c r="F1" s="8" t="s">
        <v>24</v>
      </c>
      <c r="G1" s="6">
        <v>0.9</v>
      </c>
      <c r="H1" s="6">
        <v>0.9</v>
      </c>
      <c r="I1" s="6">
        <v>0.9</v>
      </c>
      <c r="K1" s="8" t="s">
        <v>24</v>
      </c>
      <c r="L1" s="6">
        <v>0.9</v>
      </c>
      <c r="M1" s="6">
        <v>0.9</v>
      </c>
      <c r="N1" s="6">
        <v>0.9</v>
      </c>
    </row>
    <row r="2" spans="1:14" ht="30" x14ac:dyDescent="0.25">
      <c r="A2" s="8" t="s">
        <v>28</v>
      </c>
      <c r="B2" s="6">
        <v>0.02</v>
      </c>
      <c r="C2" s="6">
        <v>0.11</v>
      </c>
      <c r="D2" s="6">
        <v>0.2</v>
      </c>
      <c r="F2" s="8" t="s">
        <v>28</v>
      </c>
      <c r="G2" s="6">
        <v>0.02</v>
      </c>
      <c r="H2" s="6">
        <v>0.11</v>
      </c>
      <c r="I2" s="6">
        <v>0.2</v>
      </c>
      <c r="K2" s="8" t="s">
        <v>28</v>
      </c>
      <c r="L2" s="6">
        <v>0.02</v>
      </c>
      <c r="M2" s="6">
        <v>0.11</v>
      </c>
      <c r="N2" s="6">
        <v>0.2</v>
      </c>
    </row>
    <row r="3" spans="1:14" x14ac:dyDescent="0.25">
      <c r="A3" s="8" t="s">
        <v>25</v>
      </c>
      <c r="B3" s="6">
        <v>5</v>
      </c>
      <c r="C3" s="6">
        <v>2</v>
      </c>
      <c r="D3" s="6">
        <v>3</v>
      </c>
      <c r="F3" s="8" t="s">
        <v>25</v>
      </c>
      <c r="G3" s="6">
        <v>5</v>
      </c>
      <c r="H3" s="6">
        <v>2</v>
      </c>
      <c r="I3" s="6">
        <v>3</v>
      </c>
      <c r="K3" s="8" t="s">
        <v>25</v>
      </c>
      <c r="L3" s="6">
        <v>5</v>
      </c>
      <c r="M3" s="6">
        <v>2</v>
      </c>
      <c r="N3" s="6">
        <v>3</v>
      </c>
    </row>
    <row r="4" spans="1:14" x14ac:dyDescent="0.25">
      <c r="A4" s="18" t="s">
        <v>0</v>
      </c>
      <c r="B4" s="19"/>
      <c r="C4" s="18" t="s">
        <v>9</v>
      </c>
      <c r="D4" s="19"/>
      <c r="F4" s="18" t="s">
        <v>0</v>
      </c>
      <c r="G4" s="19"/>
      <c r="H4" s="18" t="s">
        <v>10</v>
      </c>
      <c r="I4" s="19"/>
      <c r="K4" s="18" t="s">
        <v>0</v>
      </c>
      <c r="L4" s="19"/>
      <c r="M4" s="18" t="s">
        <v>11</v>
      </c>
      <c r="N4" s="19"/>
    </row>
    <row r="5" spans="1:14" x14ac:dyDescent="0.25">
      <c r="A5" s="2" t="s">
        <v>4</v>
      </c>
      <c r="B5" s="2" t="s">
        <v>1</v>
      </c>
      <c r="C5" s="2" t="s">
        <v>2</v>
      </c>
      <c r="D5" s="2" t="s">
        <v>3</v>
      </c>
      <c r="F5" s="2" t="s">
        <v>4</v>
      </c>
      <c r="G5" s="2" t="s">
        <v>1</v>
      </c>
      <c r="H5" s="2" t="s">
        <v>2</v>
      </c>
      <c r="I5" s="2" t="s">
        <v>3</v>
      </c>
      <c r="K5" s="2" t="s">
        <v>4</v>
      </c>
      <c r="L5" s="2" t="s">
        <v>1</v>
      </c>
      <c r="M5" s="2" t="s">
        <v>2</v>
      </c>
      <c r="N5" s="2" t="s">
        <v>3</v>
      </c>
    </row>
    <row r="6" spans="1:14" x14ac:dyDescent="0.25">
      <c r="A6" s="1">
        <v>1</v>
      </c>
      <c r="B6" s="4">
        <v>2.0882574478633798E-28</v>
      </c>
      <c r="C6" s="1">
        <v>0.50442469247416399</v>
      </c>
      <c r="D6" s="1">
        <v>3.4108007600972701</v>
      </c>
      <c r="F6" s="1">
        <v>1</v>
      </c>
      <c r="G6" s="1">
        <v>2.44092496784456E-4</v>
      </c>
      <c r="H6" s="1">
        <v>120.077796275476</v>
      </c>
      <c r="I6" s="1">
        <v>18.166276797379702</v>
      </c>
      <c r="K6" s="1">
        <v>1</v>
      </c>
      <c r="L6" s="1">
        <v>156.94364803450699</v>
      </c>
      <c r="M6" s="1">
        <v>101811.595535457</v>
      </c>
      <c r="N6" s="1">
        <v>445.18385999322902</v>
      </c>
    </row>
    <row r="7" spans="1:14" x14ac:dyDescent="0.25">
      <c r="A7" s="1">
        <v>2</v>
      </c>
      <c r="B7" s="4">
        <v>1.7611011506200101E-28</v>
      </c>
      <c r="C7" s="1">
        <v>1.4142679247574399</v>
      </c>
      <c r="D7" s="1">
        <v>1.98617015566667</v>
      </c>
      <c r="F7" s="1">
        <v>2</v>
      </c>
      <c r="G7" s="1">
        <v>6.10026918342293E-4</v>
      </c>
      <c r="H7" s="1">
        <v>70.491592926319001</v>
      </c>
      <c r="I7" s="1">
        <v>19.6015619169216</v>
      </c>
      <c r="K7" s="1">
        <v>2</v>
      </c>
      <c r="L7" s="1">
        <v>59.417580688843501</v>
      </c>
      <c r="M7" s="1">
        <v>76340.314957768394</v>
      </c>
      <c r="N7" s="1">
        <v>435.19688580154298</v>
      </c>
    </row>
    <row r="8" spans="1:14" x14ac:dyDescent="0.25">
      <c r="A8" s="1">
        <v>3</v>
      </c>
      <c r="B8" s="4">
        <v>2.8503839851789802E-29</v>
      </c>
      <c r="C8" s="1">
        <v>0.36116599927023402</v>
      </c>
      <c r="D8" s="1">
        <v>1.98617015566667</v>
      </c>
      <c r="F8" s="1">
        <v>3</v>
      </c>
      <c r="G8" s="1">
        <v>0.100195378713286</v>
      </c>
      <c r="H8" s="1">
        <v>46.511890923471697</v>
      </c>
      <c r="I8" s="1">
        <v>17.739890875508099</v>
      </c>
      <c r="K8" s="1">
        <v>3</v>
      </c>
      <c r="L8" s="1">
        <v>108.394735014983</v>
      </c>
      <c r="M8" s="1">
        <v>75880.050691719603</v>
      </c>
      <c r="N8" s="1">
        <v>510.424561702321</v>
      </c>
    </row>
    <row r="9" spans="1:14" x14ac:dyDescent="0.25">
      <c r="A9" s="1">
        <v>4</v>
      </c>
      <c r="B9" s="4">
        <v>2.65457385445227E-28</v>
      </c>
      <c r="C9" s="1">
        <v>3.8457492387344701E-2</v>
      </c>
      <c r="D9" s="1">
        <v>1.98617015566667</v>
      </c>
      <c r="F9" s="1">
        <v>4</v>
      </c>
      <c r="G9" s="1">
        <v>1.6497481844576699E-4</v>
      </c>
      <c r="H9" s="1">
        <v>235.05173567043701</v>
      </c>
      <c r="I9" s="1">
        <v>21.520052137930598</v>
      </c>
      <c r="K9" s="1">
        <v>4</v>
      </c>
      <c r="L9" s="1">
        <v>91.137260484570405</v>
      </c>
      <c r="M9" s="1">
        <v>93916.920227323601</v>
      </c>
      <c r="N9" s="1">
        <v>458.78412599363702</v>
      </c>
    </row>
    <row r="10" spans="1:14" x14ac:dyDescent="0.25">
      <c r="A10" s="1">
        <v>5</v>
      </c>
      <c r="B10" s="4">
        <v>5.8018179320042999E-28</v>
      </c>
      <c r="C10" s="1">
        <v>4.8453133051510701E-2</v>
      </c>
      <c r="D10" s="1">
        <v>1.98617015566667</v>
      </c>
      <c r="F10" s="1">
        <v>5</v>
      </c>
      <c r="G10" s="1">
        <v>3.4272490114282099E-4</v>
      </c>
      <c r="H10" s="1">
        <v>80.021872552000701</v>
      </c>
      <c r="I10" s="1">
        <v>21.124131065421601</v>
      </c>
      <c r="K10" s="1">
        <v>5</v>
      </c>
      <c r="L10" s="1">
        <v>112.250120982361</v>
      </c>
      <c r="M10" s="1">
        <v>58910.471828961498</v>
      </c>
      <c r="N10" s="1">
        <v>565.61323474438404</v>
      </c>
    </row>
    <row r="11" spans="1:14" x14ac:dyDescent="0.25">
      <c r="A11" s="1">
        <v>6</v>
      </c>
      <c r="B11" s="4">
        <v>8.5225744571775296E-29</v>
      </c>
      <c r="C11" s="1">
        <v>0.55188746465545002</v>
      </c>
      <c r="D11" s="1">
        <v>1.98617015566667</v>
      </c>
      <c r="F11" s="1">
        <v>6</v>
      </c>
      <c r="G11" s="4">
        <v>8.4571412865065094E-5</v>
      </c>
      <c r="H11" s="1">
        <v>80.935388298021095</v>
      </c>
      <c r="I11" s="1">
        <v>21.934618246205201</v>
      </c>
      <c r="K11" s="1">
        <v>6</v>
      </c>
      <c r="L11" s="1">
        <v>102.14055869133</v>
      </c>
      <c r="M11" s="1">
        <v>59810.845920749598</v>
      </c>
      <c r="N11" s="1">
        <v>518.80475974316698</v>
      </c>
    </row>
    <row r="12" spans="1:14" x14ac:dyDescent="0.25">
      <c r="A12" s="1">
        <v>7</v>
      </c>
      <c r="B12" s="4">
        <v>7.5696679194943503E-29</v>
      </c>
      <c r="C12" s="1">
        <v>0.46216270847000301</v>
      </c>
      <c r="D12" s="1">
        <v>1.98617015566667</v>
      </c>
      <c r="F12" s="1">
        <v>7</v>
      </c>
      <c r="G12" s="1">
        <v>4.9400647987858903</v>
      </c>
      <c r="H12" s="1">
        <v>241.025238996609</v>
      </c>
      <c r="I12" s="1">
        <v>34.028468283644003</v>
      </c>
      <c r="K12" s="1">
        <v>7</v>
      </c>
      <c r="L12" s="1">
        <v>186.02155469771901</v>
      </c>
      <c r="M12" s="1">
        <v>100887.711044207</v>
      </c>
      <c r="N12" s="1">
        <v>586.70552852653304</v>
      </c>
    </row>
    <row r="13" spans="1:14" x14ac:dyDescent="0.25">
      <c r="A13" s="1">
        <v>8</v>
      </c>
      <c r="B13" s="4">
        <v>6.9443177227957003E-29</v>
      </c>
      <c r="C13" s="1">
        <v>0.1044927703936</v>
      </c>
      <c r="D13" s="1">
        <v>1.98617015566667</v>
      </c>
      <c r="F13" s="1">
        <v>8</v>
      </c>
      <c r="G13" s="1">
        <v>2.08326335473022E-2</v>
      </c>
      <c r="H13" s="1">
        <v>29.642578687356199</v>
      </c>
      <c r="I13" s="1">
        <v>26.436552974948899</v>
      </c>
      <c r="K13" s="1">
        <v>8</v>
      </c>
      <c r="L13" s="1">
        <v>58.618949668334999</v>
      </c>
      <c r="M13" s="1">
        <v>118934.844235704</v>
      </c>
      <c r="N13" s="1">
        <v>413.41643531678397</v>
      </c>
    </row>
    <row r="14" spans="1:14" x14ac:dyDescent="0.25">
      <c r="A14" s="1">
        <v>9</v>
      </c>
      <c r="B14" s="4">
        <v>1.7416700193283099E-28</v>
      </c>
      <c r="C14" s="1">
        <v>1.2173610945422799</v>
      </c>
      <c r="D14" s="1">
        <v>4.8354313645278699</v>
      </c>
      <c r="F14" s="1">
        <v>9</v>
      </c>
      <c r="G14" s="1">
        <v>5.1916607653940399E-4</v>
      </c>
      <c r="H14" s="1">
        <v>281.651761022036</v>
      </c>
      <c r="I14" s="1">
        <v>33.891851555025902</v>
      </c>
      <c r="K14" s="1">
        <v>9</v>
      </c>
      <c r="L14" s="1">
        <v>167.484101418698</v>
      </c>
      <c r="M14" s="1">
        <v>47994.5670085358</v>
      </c>
      <c r="N14" s="1">
        <v>512.21716050457997</v>
      </c>
    </row>
    <row r="15" spans="1:14" x14ac:dyDescent="0.25">
      <c r="A15" s="1">
        <v>10</v>
      </c>
      <c r="B15" s="4">
        <v>5.5474602967997796E-29</v>
      </c>
      <c r="C15" s="1">
        <v>0.65087918441731996</v>
      </c>
      <c r="D15" s="1">
        <v>1.98617015566667</v>
      </c>
      <c r="F15" s="1">
        <v>10</v>
      </c>
      <c r="G15" s="1">
        <v>3.9603647539196999E-4</v>
      </c>
      <c r="H15" s="1">
        <v>32.149069016349699</v>
      </c>
      <c r="I15" s="1">
        <v>28.241277012310999</v>
      </c>
      <c r="K15" s="1">
        <v>10</v>
      </c>
      <c r="L15" s="1">
        <v>150.43439813305099</v>
      </c>
      <c r="M15" s="1">
        <v>184124.13522068999</v>
      </c>
      <c r="N15" s="1">
        <v>442.08431323725199</v>
      </c>
    </row>
    <row r="16" spans="1:14" x14ac:dyDescent="0.25">
      <c r="A16" s="1">
        <v>11</v>
      </c>
      <c r="B16" s="4">
        <v>1.2889465344225599E-28</v>
      </c>
      <c r="C16" s="1">
        <v>0.55370810555462902</v>
      </c>
      <c r="D16" s="1">
        <v>1.98617015566667</v>
      </c>
      <c r="F16" s="1">
        <v>11</v>
      </c>
      <c r="G16" s="1">
        <v>0.134332879773091</v>
      </c>
      <c r="H16" s="1">
        <v>151.177701743337</v>
      </c>
      <c r="I16" s="1">
        <v>40.1573978573266</v>
      </c>
      <c r="K16" s="1">
        <v>11</v>
      </c>
      <c r="L16" s="1">
        <v>107.53878892613299</v>
      </c>
      <c r="M16" s="1">
        <v>34312.874943941599</v>
      </c>
      <c r="N16" s="1">
        <v>468.45139899608802</v>
      </c>
    </row>
    <row r="17" spans="1:14" x14ac:dyDescent="0.25">
      <c r="A17" s="1">
        <v>12</v>
      </c>
      <c r="B17" s="4">
        <v>1.1659940049602999E-27</v>
      </c>
      <c r="C17" s="1">
        <v>0.57423568704344197</v>
      </c>
      <c r="D17" s="1">
        <v>1.98617015566667</v>
      </c>
      <c r="F17" s="1">
        <v>12</v>
      </c>
      <c r="G17" s="1">
        <v>1.07662502523174E-3</v>
      </c>
      <c r="H17" s="1">
        <v>103.70137421064101</v>
      </c>
      <c r="I17" s="1">
        <v>17.877659057852402</v>
      </c>
      <c r="K17" s="1">
        <v>12</v>
      </c>
      <c r="L17" s="1">
        <v>139.271689478718</v>
      </c>
      <c r="M17" s="1">
        <v>47584.676434493202</v>
      </c>
      <c r="N17" s="1">
        <v>606.28619664836697</v>
      </c>
    </row>
    <row r="18" spans="1:14" x14ac:dyDescent="0.25">
      <c r="A18" s="1">
        <v>13</v>
      </c>
      <c r="B18" s="4">
        <v>3.8028751219345498E-28</v>
      </c>
      <c r="C18" s="1">
        <v>0.15470993540922101</v>
      </c>
      <c r="D18" s="1">
        <v>1.98617015566667</v>
      </c>
      <c r="F18" s="1">
        <v>13</v>
      </c>
      <c r="G18" s="1">
        <v>1.1987631463208E-2</v>
      </c>
      <c r="H18" s="1">
        <v>247.16523325699799</v>
      </c>
      <c r="I18" s="1">
        <v>47.872109982706498</v>
      </c>
      <c r="K18" s="1">
        <v>13</v>
      </c>
      <c r="L18" s="1">
        <v>61.201989921902197</v>
      </c>
      <c r="M18" s="1">
        <v>132177.16869343101</v>
      </c>
      <c r="N18" s="1">
        <v>730.13531991414504</v>
      </c>
    </row>
    <row r="19" spans="1:14" x14ac:dyDescent="0.25">
      <c r="A19" s="1">
        <v>14</v>
      </c>
      <c r="B19" s="4">
        <v>5.9663044173476005E-29</v>
      </c>
      <c r="C19" s="1">
        <v>5.4278873682083E-2</v>
      </c>
      <c r="D19" s="1">
        <v>3.4108007600972701</v>
      </c>
      <c r="F19" s="1">
        <v>14</v>
      </c>
      <c r="G19" s="1">
        <v>4.0535305944290801E-4</v>
      </c>
      <c r="H19" s="1">
        <v>86.932732380600598</v>
      </c>
      <c r="I19" s="1">
        <v>24.568851439037498</v>
      </c>
      <c r="K19" s="1">
        <v>14</v>
      </c>
      <c r="L19" s="1">
        <v>85.053362028208696</v>
      </c>
      <c r="M19" s="1">
        <v>108385.202202855</v>
      </c>
      <c r="N19" s="1">
        <v>451.95090968451399</v>
      </c>
    </row>
    <row r="20" spans="1:14" x14ac:dyDescent="0.25">
      <c r="A20" s="1">
        <v>15</v>
      </c>
      <c r="B20" s="4">
        <v>1.36871676272776E-26</v>
      </c>
      <c r="C20" s="1">
        <v>1.05610935286154E-2</v>
      </c>
      <c r="D20" s="1">
        <v>1.98617015566667</v>
      </c>
      <c r="F20" s="1">
        <v>15</v>
      </c>
      <c r="G20" s="1">
        <v>8.4110057900644505E-2</v>
      </c>
      <c r="H20" s="1">
        <v>2650.8726356043098</v>
      </c>
      <c r="I20" s="1">
        <v>18.7101427745602</v>
      </c>
      <c r="K20" s="1">
        <v>15</v>
      </c>
      <c r="L20" s="1">
        <v>138.019121160401</v>
      </c>
      <c r="M20" s="1">
        <v>111813.267650756</v>
      </c>
      <c r="N20" s="1">
        <v>487.31251885683599</v>
      </c>
    </row>
    <row r="21" spans="1:14" x14ac:dyDescent="0.25">
      <c r="A21" s="1">
        <v>16</v>
      </c>
      <c r="B21" s="4">
        <v>1.3049856259660399E-28</v>
      </c>
      <c r="C21" s="4">
        <v>1.86525489015506E-6</v>
      </c>
      <c r="D21" s="1">
        <v>1.98617015566667</v>
      </c>
      <c r="F21" s="1">
        <v>16</v>
      </c>
      <c r="G21" s="1">
        <v>2.0829980844452799E-4</v>
      </c>
      <c r="H21" s="1">
        <v>82.150483651971101</v>
      </c>
      <c r="I21" s="1">
        <v>35.367357004847896</v>
      </c>
      <c r="K21" s="1">
        <v>16</v>
      </c>
      <c r="L21" s="1">
        <v>154.367287284215</v>
      </c>
      <c r="M21" s="1">
        <v>170236.93127562499</v>
      </c>
      <c r="N21" s="1">
        <v>512.10001872712803</v>
      </c>
    </row>
    <row r="22" spans="1:14" x14ac:dyDescent="0.25">
      <c r="A22" s="1">
        <v>17</v>
      </c>
      <c r="B22" s="4">
        <v>1.08918493886994E-28</v>
      </c>
      <c r="C22" s="1">
        <v>0.250126824082326</v>
      </c>
      <c r="D22" s="1">
        <v>1.98617015566667</v>
      </c>
      <c r="F22" s="1">
        <v>17</v>
      </c>
      <c r="G22" s="1">
        <v>8.6640500547278805</v>
      </c>
      <c r="H22" s="1">
        <v>50.603287991956002</v>
      </c>
      <c r="I22" s="1">
        <v>32.207061968589002</v>
      </c>
      <c r="K22" s="1">
        <v>17</v>
      </c>
      <c r="L22" s="1">
        <v>123.69833071103299</v>
      </c>
      <c r="M22" s="1">
        <v>127266.653017643</v>
      </c>
      <c r="N22" s="1">
        <v>549.48929282732001</v>
      </c>
    </row>
    <row r="23" spans="1:14" x14ac:dyDescent="0.25">
      <c r="A23" s="1">
        <v>18</v>
      </c>
      <c r="B23" s="4">
        <v>4.2641615909791699E-29</v>
      </c>
      <c r="C23" s="1">
        <v>0.26899740865868799</v>
      </c>
      <c r="D23" s="1">
        <v>1.98617015566667</v>
      </c>
      <c r="F23" s="1">
        <v>18</v>
      </c>
      <c r="G23" s="1">
        <v>2.3007725112889901</v>
      </c>
      <c r="H23" s="1">
        <v>82.766873096988206</v>
      </c>
      <c r="I23" s="1">
        <v>24.970061027280899</v>
      </c>
      <c r="K23" s="1">
        <v>18</v>
      </c>
      <c r="L23" s="1">
        <v>245.18843092739201</v>
      </c>
      <c r="M23" s="1">
        <v>40264.7484663547</v>
      </c>
      <c r="N23" s="1">
        <v>388.83725620856302</v>
      </c>
    </row>
    <row r="24" spans="1:14" x14ac:dyDescent="0.25">
      <c r="A24" s="1">
        <v>19</v>
      </c>
      <c r="B24" s="4">
        <v>3.1264365959097602E-28</v>
      </c>
      <c r="C24" s="1">
        <v>0.53447975578037199</v>
      </c>
      <c r="D24" s="1">
        <v>1.98617015566667</v>
      </c>
      <c r="F24" s="1">
        <v>19</v>
      </c>
      <c r="G24" s="1">
        <v>6.5632888801124096E-3</v>
      </c>
      <c r="H24" s="1">
        <v>151.20327707347499</v>
      </c>
      <c r="I24" s="1">
        <v>21.673213992810702</v>
      </c>
      <c r="K24" s="1">
        <v>19</v>
      </c>
      <c r="L24" s="1">
        <v>48.391881319134797</v>
      </c>
      <c r="M24" s="1">
        <v>109240.605311422</v>
      </c>
      <c r="N24" s="1">
        <v>581.18696956812801</v>
      </c>
    </row>
    <row r="25" spans="1:14" x14ac:dyDescent="0.25">
      <c r="A25" s="1">
        <v>20</v>
      </c>
      <c r="B25" s="4">
        <v>2.6134796540477899E-29</v>
      </c>
      <c r="C25" s="1">
        <v>0.26715615546775701</v>
      </c>
      <c r="D25" s="1">
        <v>1.98617015566667</v>
      </c>
      <c r="F25" s="1">
        <v>20</v>
      </c>
      <c r="G25" s="1">
        <v>1.2697330829719401E-4</v>
      </c>
      <c r="H25" s="1">
        <v>136.885665852773</v>
      </c>
      <c r="I25" s="1">
        <v>23.418155518214</v>
      </c>
      <c r="K25" s="1">
        <v>20</v>
      </c>
      <c r="L25" s="1">
        <v>126.27236981500999</v>
      </c>
      <c r="M25" s="1">
        <v>141995.46770947601</v>
      </c>
      <c r="N25" s="1">
        <v>432.40281190027599</v>
      </c>
    </row>
    <row r="26" spans="1:14" x14ac:dyDescent="0.25">
      <c r="A26" s="1">
        <v>21</v>
      </c>
      <c r="B26" s="4">
        <v>3.0959605809174202E-29</v>
      </c>
      <c r="C26" s="1">
        <v>0.66293515360704702</v>
      </c>
      <c r="D26" s="1">
        <v>3.4108007600972701</v>
      </c>
      <c r="F26" s="1">
        <v>21</v>
      </c>
      <c r="G26" s="1">
        <v>5.2821907950250697</v>
      </c>
      <c r="H26" s="1">
        <v>72.726588962264998</v>
      </c>
      <c r="I26" s="1">
        <v>31.110865094242001</v>
      </c>
      <c r="K26" s="1">
        <v>21</v>
      </c>
      <c r="L26" s="1">
        <v>77.287308756765697</v>
      </c>
      <c r="M26" s="1">
        <v>173832.45619960601</v>
      </c>
      <c r="N26" s="1">
        <v>445.00293848813698</v>
      </c>
    </row>
    <row r="27" spans="1:14" x14ac:dyDescent="0.25">
      <c r="A27" s="1">
        <v>22</v>
      </c>
      <c r="B27" s="4">
        <v>1.7213113887185701E-29</v>
      </c>
      <c r="C27" s="1">
        <v>0.29304617794131499</v>
      </c>
      <c r="D27" s="1">
        <v>3.4108007600972701</v>
      </c>
      <c r="F27" s="1">
        <v>22</v>
      </c>
      <c r="G27" s="1">
        <v>1.4036905954212901E-4</v>
      </c>
      <c r="H27" s="1">
        <v>67.921987362501</v>
      </c>
      <c r="I27" s="1">
        <v>24.109918002601301</v>
      </c>
      <c r="K27" s="1">
        <v>22</v>
      </c>
      <c r="L27" s="1">
        <v>79.614109666052101</v>
      </c>
      <c r="M27" s="1">
        <v>87280.051353798495</v>
      </c>
      <c r="N27" s="1">
        <v>522.67385983582699</v>
      </c>
    </row>
    <row r="28" spans="1:14" x14ac:dyDescent="0.25">
      <c r="A28" s="1">
        <v>23</v>
      </c>
      <c r="B28" s="4">
        <v>2.77125801370705E-24</v>
      </c>
      <c r="C28" s="1">
        <v>0.71092009400851097</v>
      </c>
      <c r="D28" s="1">
        <v>1.98617015566667</v>
      </c>
      <c r="F28" s="1">
        <v>23</v>
      </c>
      <c r="G28" s="1">
        <v>1.5084609803991001E-4</v>
      </c>
      <c r="H28" s="1">
        <v>106.50786592776601</v>
      </c>
      <c r="I28" s="1">
        <v>28.386942145928199</v>
      </c>
      <c r="K28" s="1">
        <v>23</v>
      </c>
      <c r="L28" s="1">
        <v>133.148047291279</v>
      </c>
      <c r="M28" s="1">
        <v>121712.89233118</v>
      </c>
      <c r="N28" s="1">
        <v>474.68585614496197</v>
      </c>
    </row>
    <row r="29" spans="1:14" x14ac:dyDescent="0.25">
      <c r="A29" s="1">
        <v>24</v>
      </c>
      <c r="B29" s="4">
        <v>6.0088425694285097E-29</v>
      </c>
      <c r="C29" s="1">
        <v>0.42261286491994299</v>
      </c>
      <c r="D29" s="1">
        <v>1.98617015566667</v>
      </c>
      <c r="F29" s="1">
        <v>24</v>
      </c>
      <c r="G29" s="1">
        <v>2.4013355312802099E-4</v>
      </c>
      <c r="H29" s="1">
        <v>134.675496322274</v>
      </c>
      <c r="I29" s="1">
        <v>20.054907498179599</v>
      </c>
      <c r="K29" s="1">
        <v>24</v>
      </c>
      <c r="L29" s="1">
        <v>138.00282516503901</v>
      </c>
      <c r="M29" s="1">
        <v>38362.9222391074</v>
      </c>
      <c r="N29" s="1">
        <v>499.44492349506498</v>
      </c>
    </row>
    <row r="30" spans="1:14" x14ac:dyDescent="0.25">
      <c r="A30" s="1">
        <v>25</v>
      </c>
      <c r="B30" s="4">
        <v>7.8846679495642504E-29</v>
      </c>
      <c r="C30" s="1">
        <v>0.65219497530253201</v>
      </c>
      <c r="D30" s="1">
        <v>1.98617015566667</v>
      </c>
      <c r="F30" s="1">
        <v>25</v>
      </c>
      <c r="G30" s="1">
        <v>1.0065438393141399</v>
      </c>
      <c r="H30" s="1">
        <v>112.133166488765</v>
      </c>
      <c r="I30" s="1">
        <v>22.704180542340598</v>
      </c>
      <c r="K30" s="1">
        <v>25</v>
      </c>
      <c r="L30" s="1">
        <v>162.254256915198</v>
      </c>
      <c r="M30" s="1">
        <v>67244.736325728503</v>
      </c>
      <c r="N30" s="1">
        <v>491.35817068688198</v>
      </c>
    </row>
    <row r="31" spans="1:14" x14ac:dyDescent="0.25">
      <c r="A31" s="1">
        <v>26</v>
      </c>
      <c r="B31" s="4">
        <v>9.5725828261127102E-29</v>
      </c>
      <c r="C31" s="1">
        <v>5.5427743562749598E-2</v>
      </c>
      <c r="D31" s="1">
        <v>3.4108007600972701</v>
      </c>
      <c r="F31" s="1">
        <v>26</v>
      </c>
      <c r="G31" s="1">
        <v>2.1968629208021599E-4</v>
      </c>
      <c r="H31" s="1">
        <v>90.341507894837704</v>
      </c>
      <c r="I31" s="1">
        <v>18.143359652919699</v>
      </c>
      <c r="K31" s="1">
        <v>26</v>
      </c>
      <c r="L31" s="1">
        <v>188.747367252949</v>
      </c>
      <c r="M31" s="1">
        <v>34598.827047172301</v>
      </c>
      <c r="N31" s="1">
        <v>604.81131191867405</v>
      </c>
    </row>
    <row r="32" spans="1:14" x14ac:dyDescent="0.25">
      <c r="A32" s="1">
        <v>27</v>
      </c>
      <c r="B32" s="4">
        <v>7.9865661978981402E-29</v>
      </c>
      <c r="C32" s="1">
        <v>3.5735120164616802E-2</v>
      </c>
      <c r="D32" s="1">
        <v>1.98617015566667</v>
      </c>
      <c r="F32" s="1">
        <v>27</v>
      </c>
      <c r="G32" s="1">
        <v>3.92643440298031</v>
      </c>
      <c r="H32" s="1">
        <v>89.737105504527904</v>
      </c>
      <c r="I32" s="1">
        <v>17.9415885834714</v>
      </c>
      <c r="K32" s="1">
        <v>27</v>
      </c>
      <c r="L32" s="1">
        <v>88.595022381025899</v>
      </c>
      <c r="M32" s="1">
        <v>67256.906238303898</v>
      </c>
      <c r="N32" s="1">
        <v>816.29999954800405</v>
      </c>
    </row>
    <row r="33" spans="1:14" x14ac:dyDescent="0.25">
      <c r="A33" s="1">
        <v>28</v>
      </c>
      <c r="B33" s="4">
        <v>1.2803840503920399E-28</v>
      </c>
      <c r="C33" s="1">
        <v>6.5015603622177995E-2</v>
      </c>
      <c r="D33" s="1">
        <v>1.98617015566667</v>
      </c>
      <c r="F33" s="1">
        <v>28</v>
      </c>
      <c r="G33" s="1">
        <v>2.0422455481053801E-4</v>
      </c>
      <c r="H33" s="1">
        <v>136.602678752511</v>
      </c>
      <c r="I33" s="1">
        <v>20.4048050644179</v>
      </c>
      <c r="K33" s="1">
        <v>28</v>
      </c>
      <c r="L33" s="1">
        <v>104.397302883865</v>
      </c>
      <c r="M33" s="1">
        <v>81341.585366895699</v>
      </c>
      <c r="N33" s="1">
        <v>620.13535503983496</v>
      </c>
    </row>
    <row r="34" spans="1:14" x14ac:dyDescent="0.25">
      <c r="A34" s="1">
        <v>29</v>
      </c>
      <c r="B34" s="4">
        <v>4.5237066760113101E-29</v>
      </c>
      <c r="C34" s="1">
        <v>1.55610353444089</v>
      </c>
      <c r="D34" s="1">
        <v>3.4108007600972701</v>
      </c>
      <c r="F34" s="1">
        <v>29</v>
      </c>
      <c r="G34" s="1">
        <v>6.9361390974339795E-4</v>
      </c>
      <c r="H34" s="1">
        <v>154.64745235462601</v>
      </c>
      <c r="I34" s="1">
        <v>38.5624798142792</v>
      </c>
      <c r="K34" s="1">
        <v>29</v>
      </c>
      <c r="L34" s="1">
        <v>114.39478269356999</v>
      </c>
      <c r="M34" s="1">
        <v>26144.766161248801</v>
      </c>
      <c r="N34" s="1">
        <v>553.26622602518501</v>
      </c>
    </row>
    <row r="35" spans="1:14" x14ac:dyDescent="0.25">
      <c r="A35" s="1">
        <v>30</v>
      </c>
      <c r="B35" s="4">
        <v>2.2856025531570699E-28</v>
      </c>
      <c r="C35" s="1">
        <v>0.35490439759317899</v>
      </c>
      <c r="D35" s="1">
        <v>1.98617015566667</v>
      </c>
      <c r="F35" s="1">
        <v>30</v>
      </c>
      <c r="G35" s="1">
        <v>3.1091080368644301E-3</v>
      </c>
      <c r="H35" s="1">
        <v>140.04930106276601</v>
      </c>
      <c r="I35" s="1">
        <v>25.609416838997198</v>
      </c>
      <c r="K35" s="1">
        <v>30</v>
      </c>
      <c r="L35" s="1">
        <v>161.55295715702599</v>
      </c>
      <c r="M35" s="1">
        <v>87241.621457844798</v>
      </c>
      <c r="N35" s="1">
        <v>474.89831829726103</v>
      </c>
    </row>
    <row r="36" spans="1:14" x14ac:dyDescent="0.25">
      <c r="A36" s="1">
        <v>31</v>
      </c>
      <c r="B36" s="4">
        <v>2.0039957330463199E-28</v>
      </c>
      <c r="C36" s="1">
        <v>1.4907298471624399</v>
      </c>
      <c r="D36" s="1">
        <v>1.98617015566667</v>
      </c>
      <c r="F36" s="1">
        <v>31</v>
      </c>
      <c r="G36" s="1">
        <v>4.3465869837098501E-3</v>
      </c>
      <c r="H36" s="1">
        <v>22873.4244097351</v>
      </c>
      <c r="I36" s="1">
        <v>21.3837501105603</v>
      </c>
      <c r="K36" s="1">
        <v>31</v>
      </c>
      <c r="L36" s="1">
        <v>165.41235629937401</v>
      </c>
      <c r="M36" s="1">
        <v>181402.86794512</v>
      </c>
      <c r="N36" s="1">
        <v>560.69979105226196</v>
      </c>
    </row>
    <row r="37" spans="1:14" x14ac:dyDescent="0.25">
      <c r="A37" s="1">
        <v>32</v>
      </c>
      <c r="B37" s="4">
        <v>7.2811590540223601E-28</v>
      </c>
      <c r="C37" s="1">
        <v>0.19114355627540799</v>
      </c>
      <c r="D37" s="1">
        <v>1.98617015566667</v>
      </c>
      <c r="F37" s="1">
        <v>32</v>
      </c>
      <c r="G37" s="1">
        <v>1.35913945226302E-4</v>
      </c>
      <c r="H37" s="1">
        <v>95.305113282785996</v>
      </c>
      <c r="I37" s="1">
        <v>17.925657853765198</v>
      </c>
      <c r="K37" s="1">
        <v>32</v>
      </c>
      <c r="L37" s="1">
        <v>36.757769878054901</v>
      </c>
      <c r="M37" s="1">
        <v>123152.379670558</v>
      </c>
      <c r="N37" s="1">
        <v>590.88975441726905</v>
      </c>
    </row>
    <row r="38" spans="1:14" x14ac:dyDescent="0.25">
      <c r="A38" s="1">
        <v>33</v>
      </c>
      <c r="B38" s="4">
        <v>1.7326028108825599E-28</v>
      </c>
      <c r="C38" s="1">
        <v>0.63751659254631199</v>
      </c>
      <c r="D38" s="1">
        <v>4.8354313645278699</v>
      </c>
      <c r="F38" s="1">
        <v>33</v>
      </c>
      <c r="G38" s="4">
        <v>4.8457612859695603E-5</v>
      </c>
      <c r="H38" s="1">
        <v>92.971026044585898</v>
      </c>
      <c r="I38" s="1">
        <v>19.266454243865802</v>
      </c>
      <c r="K38" s="1">
        <v>33</v>
      </c>
      <c r="L38" s="1">
        <v>107.50139962548199</v>
      </c>
      <c r="M38" s="1">
        <v>113385.48990821801</v>
      </c>
      <c r="N38" s="1">
        <v>591.46251212523998</v>
      </c>
    </row>
    <row r="39" spans="1:14" x14ac:dyDescent="0.25">
      <c r="A39" s="1">
        <v>34</v>
      </c>
      <c r="B39" s="4">
        <v>4.24397143915119E-28</v>
      </c>
      <c r="C39" s="1">
        <v>0.270095963635403</v>
      </c>
      <c r="D39" s="1">
        <v>1.98617015566667</v>
      </c>
      <c r="F39" s="1">
        <v>34</v>
      </c>
      <c r="G39" s="1">
        <v>2.0245369778708699E-4</v>
      </c>
      <c r="H39" s="1">
        <v>191.13689857277399</v>
      </c>
      <c r="I39" s="1">
        <v>19.4488451918564</v>
      </c>
      <c r="K39" s="1">
        <v>34</v>
      </c>
      <c r="L39" s="1">
        <v>97.060826309673004</v>
      </c>
      <c r="M39" s="1">
        <v>108806.477988446</v>
      </c>
      <c r="N39" s="1">
        <v>455.52223552561202</v>
      </c>
    </row>
    <row r="40" spans="1:14" x14ac:dyDescent="0.25">
      <c r="A40" s="1">
        <v>35</v>
      </c>
      <c r="B40" s="4">
        <v>6.51198703764871E-29</v>
      </c>
      <c r="C40" s="1">
        <v>0.31044044761440698</v>
      </c>
      <c r="D40" s="1">
        <v>1.98617015566667</v>
      </c>
      <c r="F40" s="1">
        <v>35</v>
      </c>
      <c r="G40" s="1">
        <v>6.20770096947461E-3</v>
      </c>
      <c r="H40" s="1">
        <v>1376.0443123509999</v>
      </c>
      <c r="I40" s="1">
        <v>26.034377077822501</v>
      </c>
      <c r="K40" s="1">
        <v>35</v>
      </c>
      <c r="L40" s="1">
        <v>116.865480068854</v>
      </c>
      <c r="M40" s="1">
        <v>83762.178537545304</v>
      </c>
      <c r="N40" s="1">
        <v>466.232673239603</v>
      </c>
    </row>
    <row r="41" spans="1:14" x14ac:dyDescent="0.25">
      <c r="A41" s="1">
        <v>36</v>
      </c>
      <c r="B41" s="4">
        <v>2.74614248958427E-28</v>
      </c>
      <c r="C41" s="1">
        <v>0.44320575912827598</v>
      </c>
      <c r="D41" s="1">
        <v>4.8354313645278699</v>
      </c>
      <c r="F41" s="1">
        <v>36</v>
      </c>
      <c r="G41" s="1">
        <v>9.3561720679166595E-4</v>
      </c>
      <c r="H41" s="1">
        <v>94.397128156569195</v>
      </c>
      <c r="I41" s="1">
        <v>20.591941473195899</v>
      </c>
      <c r="K41" s="1">
        <v>36</v>
      </c>
      <c r="L41" s="1">
        <v>114.336174871662</v>
      </c>
      <c r="M41" s="1">
        <v>38550.071772936601</v>
      </c>
      <c r="N41" s="1">
        <v>514.155329814791</v>
      </c>
    </row>
    <row r="42" spans="1:14" x14ac:dyDescent="0.25">
      <c r="A42" s="1">
        <v>37</v>
      </c>
      <c r="B42" s="4">
        <v>4.0124891424878E-29</v>
      </c>
      <c r="C42" s="1">
        <v>1.5295086898857301E-3</v>
      </c>
      <c r="D42" s="1">
        <v>1.98617015566667</v>
      </c>
      <c r="F42" s="1">
        <v>37</v>
      </c>
      <c r="G42" s="1">
        <v>3.7696375609257999E-3</v>
      </c>
      <c r="H42" s="1">
        <v>66.026382444438795</v>
      </c>
      <c r="I42" s="1">
        <v>49.994792599067402</v>
      </c>
      <c r="K42" s="1">
        <v>37</v>
      </c>
      <c r="L42" s="1">
        <v>69.777842520636597</v>
      </c>
      <c r="M42" s="1">
        <v>205576.508512525</v>
      </c>
      <c r="N42" s="1">
        <v>442.64269695898997</v>
      </c>
    </row>
    <row r="43" spans="1:14" x14ac:dyDescent="0.25">
      <c r="A43" s="1">
        <v>38</v>
      </c>
      <c r="B43" s="4">
        <v>1.2705714930282699E-28</v>
      </c>
      <c r="C43" s="1">
        <v>1.23010296751207</v>
      </c>
      <c r="D43" s="1">
        <v>1.98617015566667</v>
      </c>
      <c r="F43" s="1">
        <v>38</v>
      </c>
      <c r="G43" s="1">
        <v>2.00579375940486E-2</v>
      </c>
      <c r="H43" s="1">
        <v>118.148975811242</v>
      </c>
      <c r="I43" s="1">
        <v>25.087670224379899</v>
      </c>
      <c r="K43" s="1">
        <v>38</v>
      </c>
      <c r="L43" s="1">
        <v>142.39975275236799</v>
      </c>
      <c r="M43" s="1">
        <v>132130.57216888899</v>
      </c>
      <c r="N43" s="1">
        <v>634.33520281769904</v>
      </c>
    </row>
    <row r="44" spans="1:14" x14ac:dyDescent="0.25">
      <c r="A44" s="1">
        <v>39</v>
      </c>
      <c r="B44" s="4">
        <v>1.16488144680075E-28</v>
      </c>
      <c r="C44" s="1">
        <v>1.9099960804755101</v>
      </c>
      <c r="D44" s="1">
        <v>1.98617015566667</v>
      </c>
      <c r="F44" s="1">
        <v>39</v>
      </c>
      <c r="G44" s="1">
        <v>9.1134407470754995E-4</v>
      </c>
      <c r="H44" s="1">
        <v>220.817136916723</v>
      </c>
      <c r="I44" s="1">
        <v>22.3406914397995</v>
      </c>
      <c r="K44" s="1">
        <v>39</v>
      </c>
      <c r="L44" s="1">
        <v>111.801464265988</v>
      </c>
      <c r="M44" s="1">
        <v>49191.254389359397</v>
      </c>
      <c r="N44" s="1">
        <v>565.75430731221104</v>
      </c>
    </row>
    <row r="45" spans="1:14" x14ac:dyDescent="0.25">
      <c r="A45" s="1">
        <v>40</v>
      </c>
      <c r="B45" s="4">
        <v>1.58158840775947E-28</v>
      </c>
      <c r="C45" s="1">
        <v>1.96099285378953E-2</v>
      </c>
      <c r="D45" s="1">
        <v>1.98617015566667</v>
      </c>
      <c r="F45" s="1">
        <v>40</v>
      </c>
      <c r="G45" s="4">
        <v>9.3765891214280306E-5</v>
      </c>
      <c r="H45" s="1">
        <v>139.59890189471801</v>
      </c>
      <c r="I45" s="1">
        <v>22.264468040626401</v>
      </c>
      <c r="K45" s="1">
        <v>40</v>
      </c>
      <c r="L45" s="1">
        <v>135.27105849982601</v>
      </c>
      <c r="M45" s="1">
        <v>55350.6827331698</v>
      </c>
      <c r="N45" s="1">
        <v>534.20950458746199</v>
      </c>
    </row>
    <row r="46" spans="1:14" x14ac:dyDescent="0.25">
      <c r="A46" s="1">
        <v>41</v>
      </c>
      <c r="B46" s="4">
        <v>2.2169757733875298E-28</v>
      </c>
      <c r="C46" s="1">
        <v>0.13217882684714899</v>
      </c>
      <c r="D46" s="1">
        <v>1.98617015566667</v>
      </c>
      <c r="F46" s="1">
        <v>41</v>
      </c>
      <c r="G46" s="1">
        <v>4.0127301272074901E-3</v>
      </c>
      <c r="H46" s="1">
        <v>80.227374014108193</v>
      </c>
      <c r="I46" s="1">
        <v>52.073214553269999</v>
      </c>
      <c r="K46" s="1">
        <v>41</v>
      </c>
      <c r="L46" s="1">
        <v>33.403274163778001</v>
      </c>
      <c r="M46" s="1">
        <v>52983.683147495998</v>
      </c>
      <c r="N46" s="1">
        <v>636.16608870997402</v>
      </c>
    </row>
    <row r="47" spans="1:14" x14ac:dyDescent="0.25">
      <c r="A47" s="1">
        <v>42</v>
      </c>
      <c r="B47" s="4">
        <v>7.2517267962259404E-29</v>
      </c>
      <c r="C47" s="1">
        <v>2.67088156827371E-2</v>
      </c>
      <c r="D47" s="1">
        <v>1.98617015566667</v>
      </c>
      <c r="F47" s="1">
        <v>42</v>
      </c>
      <c r="G47" s="1">
        <v>5.3065561964993899E-4</v>
      </c>
      <c r="H47" s="1">
        <v>97.425726476562502</v>
      </c>
      <c r="I47" s="1">
        <v>29.587352836255</v>
      </c>
      <c r="K47" s="1">
        <v>42</v>
      </c>
      <c r="L47" s="1">
        <v>99.502377720070697</v>
      </c>
      <c r="M47" s="1">
        <v>73616.070879429899</v>
      </c>
      <c r="N47" s="1">
        <v>596.20165992389104</v>
      </c>
    </row>
    <row r="48" spans="1:14" x14ac:dyDescent="0.25">
      <c r="A48" s="1">
        <v>43</v>
      </c>
      <c r="B48" s="4">
        <v>8.2868330826100502E-29</v>
      </c>
      <c r="C48" s="1">
        <v>0.147867901387842</v>
      </c>
      <c r="D48" s="1">
        <v>3.4108007600972701</v>
      </c>
      <c r="F48" s="1">
        <v>43</v>
      </c>
      <c r="G48" s="1">
        <v>1.79297016869344E-4</v>
      </c>
      <c r="H48" s="1">
        <v>122.32625584613299</v>
      </c>
      <c r="I48" s="1">
        <v>20.749480781317398</v>
      </c>
      <c r="K48" s="1">
        <v>43</v>
      </c>
      <c r="L48" s="1">
        <v>95.242602267238397</v>
      </c>
      <c r="M48" s="1">
        <v>45292.086300648902</v>
      </c>
      <c r="N48" s="1">
        <v>562.750265629551</v>
      </c>
    </row>
    <row r="49" spans="1:14" x14ac:dyDescent="0.25">
      <c r="A49" s="1">
        <v>44</v>
      </c>
      <c r="B49" s="4">
        <v>1.1913767137559601E-28</v>
      </c>
      <c r="C49" s="1">
        <v>0.87891671716710795</v>
      </c>
      <c r="D49" s="1">
        <v>1.98617015566667</v>
      </c>
      <c r="F49" s="1">
        <v>44</v>
      </c>
      <c r="G49" s="1">
        <v>2.6669766415919898E-4</v>
      </c>
      <c r="H49" s="1">
        <v>84.253233830828506</v>
      </c>
      <c r="I49" s="1">
        <v>19.198188119841198</v>
      </c>
      <c r="K49" s="1">
        <v>44</v>
      </c>
      <c r="L49" s="1">
        <v>139.28070366233499</v>
      </c>
      <c r="M49" s="1">
        <v>87771.607902169897</v>
      </c>
      <c r="N49" s="1">
        <v>451.99827016395801</v>
      </c>
    </row>
    <row r="50" spans="1:14" x14ac:dyDescent="0.25">
      <c r="A50" s="1">
        <v>45</v>
      </c>
      <c r="B50" s="4">
        <v>1.23969479934177E-23</v>
      </c>
      <c r="C50" s="1">
        <v>0.192965851165212</v>
      </c>
      <c r="D50" s="1">
        <v>1.98617015566667</v>
      </c>
      <c r="F50" s="1">
        <v>45</v>
      </c>
      <c r="G50" s="1">
        <v>1.1106400340233</v>
      </c>
      <c r="H50" s="1">
        <v>136.94700057206799</v>
      </c>
      <c r="I50" s="1">
        <v>20.645132677190102</v>
      </c>
      <c r="K50" s="1">
        <v>45</v>
      </c>
      <c r="L50" s="1">
        <v>87.714401194780706</v>
      </c>
      <c r="M50" s="1">
        <v>42303.537567781103</v>
      </c>
      <c r="N50" s="1">
        <v>478.224663751283</v>
      </c>
    </row>
    <row r="51" spans="1:14" x14ac:dyDescent="0.25">
      <c r="A51" s="1">
        <v>46</v>
      </c>
      <c r="B51" s="4">
        <v>2.5229337622322601E-29</v>
      </c>
      <c r="C51" s="1">
        <v>0.44432854970950197</v>
      </c>
      <c r="D51" s="1">
        <v>1.98617015566667</v>
      </c>
      <c r="F51" s="1">
        <v>46</v>
      </c>
      <c r="G51" s="1">
        <v>2.5904389592198301E-2</v>
      </c>
      <c r="H51" s="1">
        <v>147.06058707249599</v>
      </c>
      <c r="I51" s="1">
        <v>26.4730373838694</v>
      </c>
      <c r="K51" s="1">
        <v>46</v>
      </c>
      <c r="L51" s="1">
        <v>64.235121742536805</v>
      </c>
      <c r="M51" s="1">
        <v>48707.257153921899</v>
      </c>
      <c r="N51" s="1">
        <v>562.87331956632397</v>
      </c>
    </row>
    <row r="52" spans="1:14" x14ac:dyDescent="0.25">
      <c r="A52" s="1">
        <v>47</v>
      </c>
      <c r="B52" s="4">
        <v>1.2086798431748501E-28</v>
      </c>
      <c r="C52" s="1">
        <v>0.13271542603848599</v>
      </c>
      <c r="D52" s="1">
        <v>1.98617015566667</v>
      </c>
      <c r="F52" s="1">
        <v>47</v>
      </c>
      <c r="G52" s="1">
        <v>3.21473199690464E-4</v>
      </c>
      <c r="H52" s="1">
        <v>136.31108238380301</v>
      </c>
      <c r="I52" s="1">
        <v>19.529354167466799</v>
      </c>
      <c r="K52" s="1">
        <v>47</v>
      </c>
      <c r="L52" s="1">
        <v>185.39482892376</v>
      </c>
      <c r="M52" s="1">
        <v>131734.129361642</v>
      </c>
      <c r="N52" s="1">
        <v>490.17372537280198</v>
      </c>
    </row>
    <row r="53" spans="1:14" x14ac:dyDescent="0.25">
      <c r="A53" s="1">
        <v>48</v>
      </c>
      <c r="B53" s="4">
        <v>1.61133938579026E-29</v>
      </c>
      <c r="C53" s="1">
        <v>1.5767983458558299</v>
      </c>
      <c r="D53" s="1">
        <v>3.4108007600972701</v>
      </c>
      <c r="F53" s="1">
        <v>48</v>
      </c>
      <c r="G53" s="1">
        <v>4.8184461164868402E-2</v>
      </c>
      <c r="H53" s="1">
        <v>199.65276071780599</v>
      </c>
      <c r="I53" s="1">
        <v>31.549654571314498</v>
      </c>
      <c r="K53" s="1">
        <v>48</v>
      </c>
      <c r="L53" s="1">
        <v>88.650901353199501</v>
      </c>
      <c r="M53" s="1">
        <v>87462.623742530704</v>
      </c>
      <c r="N53" s="1">
        <v>491.43051041381699</v>
      </c>
    </row>
    <row r="54" spans="1:14" x14ac:dyDescent="0.25">
      <c r="A54" s="1">
        <v>49</v>
      </c>
      <c r="B54" s="4">
        <v>1.0491409335051399E-28</v>
      </c>
      <c r="C54" s="1">
        <v>0.30702112467731202</v>
      </c>
      <c r="D54" s="1">
        <v>1.98617015566667</v>
      </c>
      <c r="F54" s="1">
        <v>49</v>
      </c>
      <c r="G54" s="1">
        <v>5.6204912476347604E-4</v>
      </c>
      <c r="H54" s="1">
        <v>29.469683584775002</v>
      </c>
      <c r="I54" s="1">
        <v>27.789553623834699</v>
      </c>
      <c r="K54" s="1">
        <v>49</v>
      </c>
      <c r="L54" s="1">
        <v>152.15729730750701</v>
      </c>
      <c r="M54" s="1">
        <v>53099.191235876999</v>
      </c>
      <c r="N54" s="1">
        <v>545.83208281969405</v>
      </c>
    </row>
    <row r="55" spans="1:14" x14ac:dyDescent="0.25">
      <c r="A55" s="1">
        <v>50</v>
      </c>
      <c r="B55" s="4">
        <v>2.6668695349871701E-28</v>
      </c>
      <c r="C55" s="1">
        <v>1.24312187215439</v>
      </c>
      <c r="D55" s="1">
        <v>1.98617015566667</v>
      </c>
      <c r="F55" s="1">
        <v>50</v>
      </c>
      <c r="G55" s="1">
        <v>4.1122076315333302E-4</v>
      </c>
      <c r="H55" s="1">
        <v>80.223491996426105</v>
      </c>
      <c r="I55" s="1">
        <v>22.573300866692399</v>
      </c>
      <c r="K55" s="1">
        <v>50</v>
      </c>
      <c r="L55" s="1">
        <v>45.055083729797403</v>
      </c>
      <c r="M55" s="1">
        <v>67696.488360538802</v>
      </c>
      <c r="N55" s="1">
        <v>439.04713371430398</v>
      </c>
    </row>
    <row r="56" spans="1:14" x14ac:dyDescent="0.25">
      <c r="A56" s="3" t="s">
        <v>5</v>
      </c>
      <c r="B56" s="4">
        <f>AVERAGE(B6:B55)</f>
        <v>3.0380140481762369E-25</v>
      </c>
      <c r="C56" s="4">
        <f t="shared" ref="C56" si="0">AVERAGE(C6:C55)</f>
        <v>0.48835395832615019</v>
      </c>
      <c r="D56" s="4">
        <f t="shared" ref="D56" si="1">AVERAGE(D6:D55)</f>
        <v>2.3850667249072379</v>
      </c>
      <c r="F56" s="3" t="s">
        <v>5</v>
      </c>
      <c r="G56" s="4">
        <f>AVERAGE(G6:G55)</f>
        <v>0.5542947504407536</v>
      </c>
      <c r="H56" s="4">
        <f t="shared" ref="H56" si="2">AVERAGE(H6:H55)</f>
        <v>648.96257643137812</v>
      </c>
      <c r="I56" s="4">
        <f t="shared" ref="I56" si="3">AVERAGE(I6:I55)</f>
        <v>25.820841451237797</v>
      </c>
      <c r="K56" s="3" t="s">
        <v>5</v>
      </c>
      <c r="L56" s="4">
        <f>AVERAGE(L6:L55)</f>
        <v>115.15321713412473</v>
      </c>
      <c r="M56" s="4">
        <f t="shared" ref="M56:N56" si="4">AVERAGE(M6:M55)</f>
        <v>90177.61952753611</v>
      </c>
      <c r="N56" s="4">
        <f t="shared" si="4"/>
        <v>524.19524492582741</v>
      </c>
    </row>
    <row r="57" spans="1:14" x14ac:dyDescent="0.25">
      <c r="A57" s="3" t="s">
        <v>17</v>
      </c>
      <c r="B57" s="4">
        <f>MEDIAN(B6:B55)</f>
        <v>1.200028278465405E-28</v>
      </c>
      <c r="C57" s="4">
        <f t="shared" ref="C57:D57" si="5">MEDIAN(C6:C55)</f>
        <v>0.33267242260379298</v>
      </c>
      <c r="D57" s="4">
        <f t="shared" si="5"/>
        <v>1.98617015566667</v>
      </c>
      <c r="F57" s="3" t="s">
        <v>17</v>
      </c>
      <c r="G57" s="4">
        <f>MEDIAN(G6:G55)</f>
        <v>6.5182041404284548E-4</v>
      </c>
      <c r="H57" s="4">
        <f t="shared" ref="H57:I57" si="6">MEDIAN(H6:H55)</f>
        <v>109.3205162082655</v>
      </c>
      <c r="I57" s="4">
        <f t="shared" si="6"/>
        <v>22.638740704516501</v>
      </c>
      <c r="K57" s="3" t="s">
        <v>17</v>
      </c>
      <c r="L57" s="4">
        <f>MEDIAN(L6:L55)</f>
        <v>112.0257926241745</v>
      </c>
      <c r="M57" s="4">
        <f t="shared" ref="M57" si="7">MEDIAN(M6:M55)</f>
        <v>85501.899997695058</v>
      </c>
      <c r="N57" s="4">
        <f t="shared" ref="N57" si="8">MEDIAN(N6:N55)</f>
        <v>512.158589615854</v>
      </c>
    </row>
    <row r="58" spans="1:14" x14ac:dyDescent="0.25">
      <c r="A58" s="3" t="s">
        <v>36</v>
      </c>
      <c r="B58" s="1">
        <f>_xlfn.VAR.S(B6:B55)</f>
        <v>3.1989717666162792E-48</v>
      </c>
      <c r="C58" s="1">
        <f t="shared" ref="C58:D58" si="9">_xlfn.VAR.S(C6:C55)</f>
        <v>0.23731537956578175</v>
      </c>
      <c r="D58" s="1">
        <f t="shared" si="9"/>
        <v>0.66603109253083648</v>
      </c>
      <c r="F58" s="3" t="s">
        <v>36</v>
      </c>
      <c r="G58" s="1">
        <f>_xlfn.VAR.S(G6:G55)</f>
        <v>2.7552200150511492</v>
      </c>
      <c r="H58" s="1">
        <f t="shared" ref="H58:I58" si="10">_xlfn.VAR.S(H6:H55)</f>
        <v>10446323.843736859</v>
      </c>
      <c r="I58" s="1">
        <f t="shared" si="10"/>
        <v>69.437994310529888</v>
      </c>
      <c r="K58" s="3" t="s">
        <v>36</v>
      </c>
      <c r="L58" s="1">
        <f>_xlfn.VAR.S(L6:L55)</f>
        <v>1949.7272481419602</v>
      </c>
      <c r="M58" s="1">
        <f t="shared" ref="M58:N58" si="11">_xlfn.VAR.S(M6:M55)</f>
        <v>1961310522.6423576</v>
      </c>
      <c r="N58" s="1">
        <f t="shared" si="11"/>
        <v>6629.6156155413055</v>
      </c>
    </row>
  </sheetData>
  <mergeCells count="6">
    <mergeCell ref="K4:L4"/>
    <mergeCell ref="M4:N4"/>
    <mergeCell ref="A4:B4"/>
    <mergeCell ref="C4:D4"/>
    <mergeCell ref="F4:G4"/>
    <mergeCell ref="H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826D-ADFF-4A1E-83B2-2C848121C2DE}">
  <dimension ref="A1:N58"/>
  <sheetViews>
    <sheetView workbookViewId="0">
      <selection activeCell="K58" sqref="K58:N58"/>
    </sheetView>
  </sheetViews>
  <sheetFormatPr defaultRowHeight="15" x14ac:dyDescent="0.25"/>
  <cols>
    <col min="2" max="2" width="12" bestFit="1" customWidth="1"/>
    <col min="3" max="3" width="11.7109375" bestFit="1" customWidth="1"/>
    <col min="4" max="4" width="12" bestFit="1" customWidth="1"/>
    <col min="7" max="8" width="12" bestFit="1" customWidth="1"/>
    <col min="12" max="14" width="12" bestFit="1" customWidth="1"/>
  </cols>
  <sheetData>
    <row r="1" spans="1:14" x14ac:dyDescent="0.25">
      <c r="A1" s="5" t="s">
        <v>14</v>
      </c>
      <c r="B1" s="6">
        <v>0.3</v>
      </c>
      <c r="C1" s="6">
        <v>0.3</v>
      </c>
      <c r="D1" s="6">
        <v>0.3</v>
      </c>
      <c r="F1" s="5" t="s">
        <v>14</v>
      </c>
      <c r="G1" s="6">
        <v>0.3</v>
      </c>
      <c r="H1" s="6">
        <v>0.3</v>
      </c>
      <c r="I1" s="6">
        <v>0.3</v>
      </c>
      <c r="K1" s="5" t="s">
        <v>14</v>
      </c>
      <c r="L1" s="6">
        <v>0.3</v>
      </c>
      <c r="M1" s="6">
        <v>0.3</v>
      </c>
      <c r="N1" s="6">
        <v>0.3</v>
      </c>
    </row>
    <row r="2" spans="1:14" x14ac:dyDescent="0.25">
      <c r="A2" s="5" t="s">
        <v>15</v>
      </c>
      <c r="B2" s="6">
        <v>2</v>
      </c>
      <c r="C2" s="6">
        <v>2</v>
      </c>
      <c r="D2" s="6">
        <v>2</v>
      </c>
      <c r="F2" s="5" t="s">
        <v>15</v>
      </c>
      <c r="G2" s="6">
        <v>2</v>
      </c>
      <c r="H2" s="6">
        <v>2</v>
      </c>
      <c r="I2" s="6">
        <v>2</v>
      </c>
      <c r="K2" s="5" t="s">
        <v>15</v>
      </c>
      <c r="L2" s="6">
        <v>2</v>
      </c>
      <c r="M2" s="6">
        <v>2</v>
      </c>
      <c r="N2" s="6">
        <v>2</v>
      </c>
    </row>
    <row r="3" spans="1:14" x14ac:dyDescent="0.25">
      <c r="A3" s="5" t="s">
        <v>16</v>
      </c>
      <c r="B3" s="6">
        <v>2</v>
      </c>
      <c r="C3" s="6">
        <v>2</v>
      </c>
      <c r="D3" s="6">
        <v>2</v>
      </c>
      <c r="F3" s="5" t="s">
        <v>16</v>
      </c>
      <c r="G3" s="6">
        <v>2</v>
      </c>
      <c r="H3" s="6">
        <v>2</v>
      </c>
      <c r="I3" s="6">
        <v>2</v>
      </c>
      <c r="K3" s="5" t="s">
        <v>16</v>
      </c>
      <c r="L3" s="6">
        <v>2</v>
      </c>
      <c r="M3" s="6">
        <v>2</v>
      </c>
      <c r="N3" s="6">
        <v>2</v>
      </c>
    </row>
    <row r="4" spans="1:14" x14ac:dyDescent="0.25">
      <c r="A4" s="18" t="s">
        <v>6</v>
      </c>
      <c r="B4" s="19"/>
      <c r="C4" s="18" t="s">
        <v>9</v>
      </c>
      <c r="D4" s="19"/>
      <c r="F4" s="18" t="s">
        <v>6</v>
      </c>
      <c r="G4" s="19"/>
      <c r="H4" s="18" t="s">
        <v>10</v>
      </c>
      <c r="I4" s="19"/>
      <c r="K4" s="18" t="s">
        <v>6</v>
      </c>
      <c r="L4" s="19"/>
      <c r="M4" s="18" t="s">
        <v>11</v>
      </c>
      <c r="N4" s="19"/>
    </row>
    <row r="5" spans="1:14" x14ac:dyDescent="0.25">
      <c r="A5" s="2" t="s">
        <v>4</v>
      </c>
      <c r="B5" s="2" t="s">
        <v>1</v>
      </c>
      <c r="C5" s="2" t="s">
        <v>2</v>
      </c>
      <c r="D5" s="2" t="s">
        <v>3</v>
      </c>
      <c r="F5" s="2" t="s">
        <v>4</v>
      </c>
      <c r="G5" s="2" t="s">
        <v>1</v>
      </c>
      <c r="H5" s="2" t="s">
        <v>2</v>
      </c>
      <c r="I5" s="2" t="s">
        <v>3</v>
      </c>
      <c r="K5" s="2" t="s">
        <v>4</v>
      </c>
      <c r="L5" s="2" t="s">
        <v>1</v>
      </c>
      <c r="M5" s="2" t="s">
        <v>2</v>
      </c>
      <c r="N5" s="2" t="s">
        <v>3</v>
      </c>
    </row>
    <row r="6" spans="1:14" x14ac:dyDescent="0.25">
      <c r="A6" s="1">
        <v>1</v>
      </c>
      <c r="B6" s="4">
        <v>1.1666231339370099E-61</v>
      </c>
      <c r="C6" s="1">
        <v>0.29367395922068301</v>
      </c>
      <c r="D6" s="1">
        <v>4.8354313645278699</v>
      </c>
      <c r="F6" s="1">
        <v>1</v>
      </c>
      <c r="G6" s="4">
        <v>2.13718755364992E-10</v>
      </c>
      <c r="H6" s="1">
        <v>25.829720917921598</v>
      </c>
      <c r="I6" s="1">
        <v>38.995622730418802</v>
      </c>
      <c r="K6" s="1">
        <v>1</v>
      </c>
      <c r="L6" s="4">
        <v>0.36852870613806799</v>
      </c>
      <c r="M6" s="1">
        <v>245.63769198142501</v>
      </c>
      <c r="N6" s="1">
        <v>186.451167987395</v>
      </c>
    </row>
    <row r="7" spans="1:14" x14ac:dyDescent="0.25">
      <c r="A7" s="1">
        <v>2</v>
      </c>
      <c r="B7" s="4">
        <v>1.06650492935021E-62</v>
      </c>
      <c r="C7" s="1">
        <v>0.27561380594476398</v>
      </c>
      <c r="D7" s="1">
        <v>4.8354313645278699</v>
      </c>
      <c r="F7" s="1">
        <v>2</v>
      </c>
      <c r="G7" s="4">
        <v>8.2657704830464295E-11</v>
      </c>
      <c r="H7" s="1">
        <v>80.134188504367998</v>
      </c>
      <c r="I7" s="1">
        <v>27.587957584807899</v>
      </c>
      <c r="K7" s="1">
        <v>2</v>
      </c>
      <c r="L7" s="4">
        <v>0.42122903571624698</v>
      </c>
      <c r="M7" s="1">
        <v>472.767332467671</v>
      </c>
      <c r="N7" s="1">
        <v>160.563245136391</v>
      </c>
    </row>
    <row r="8" spans="1:14" x14ac:dyDescent="0.25">
      <c r="A8" s="1">
        <v>3</v>
      </c>
      <c r="B8" s="4">
        <v>7.9125529053483302E-64</v>
      </c>
      <c r="C8" s="1">
        <v>0.163128495040401</v>
      </c>
      <c r="D8" s="1">
        <v>1.98617015566667</v>
      </c>
      <c r="F8" s="1">
        <v>3</v>
      </c>
      <c r="G8" s="4">
        <v>2.2710678039914801E-11</v>
      </c>
      <c r="H8" s="1">
        <v>25.737253205297801</v>
      </c>
      <c r="I8" s="1">
        <v>31.154844250541299</v>
      </c>
      <c r="K8" s="1">
        <v>3</v>
      </c>
      <c r="L8" s="4">
        <v>3.8328579535248402</v>
      </c>
      <c r="M8" s="1">
        <v>291.615209610791</v>
      </c>
      <c r="N8" s="1">
        <v>199.85784641123601</v>
      </c>
    </row>
    <row r="9" spans="1:14" x14ac:dyDescent="0.25">
      <c r="A9" s="1">
        <v>4</v>
      </c>
      <c r="B9" s="4">
        <v>3.3799816906651499E-64</v>
      </c>
      <c r="C9" s="1">
        <v>0.28518744379376998</v>
      </c>
      <c r="D9" s="1">
        <v>1.98617015566667</v>
      </c>
      <c r="F9" s="1">
        <v>4</v>
      </c>
      <c r="G9" s="4">
        <v>4.4492775294405903E-12</v>
      </c>
      <c r="H9" s="1">
        <v>24.716946285726898</v>
      </c>
      <c r="I9" s="1">
        <v>41.127258483312097</v>
      </c>
      <c r="K9" s="1">
        <v>4</v>
      </c>
      <c r="L9" s="4">
        <v>0.42444846802436798</v>
      </c>
      <c r="M9" s="1">
        <v>402.13855310838699</v>
      </c>
      <c r="N9" s="1">
        <v>186.86437223112901</v>
      </c>
    </row>
    <row r="10" spans="1:14" x14ac:dyDescent="0.25">
      <c r="A10" s="1">
        <v>5</v>
      </c>
      <c r="B10" s="4">
        <v>2.68240251463649E-63</v>
      </c>
      <c r="C10" s="1">
        <v>4.3632832882454498</v>
      </c>
      <c r="D10" s="1">
        <v>1.98617015566667</v>
      </c>
      <c r="F10" s="1">
        <v>5</v>
      </c>
      <c r="G10" s="4">
        <v>9.4598856103902002E-11</v>
      </c>
      <c r="H10" s="1">
        <v>27.785682269728198</v>
      </c>
      <c r="I10" s="1">
        <v>31.872469708068</v>
      </c>
      <c r="K10" s="1">
        <v>5</v>
      </c>
      <c r="L10" s="4">
        <v>0.301205678464321</v>
      </c>
      <c r="M10" s="1">
        <v>360.27470422195103</v>
      </c>
      <c r="N10" s="1">
        <v>157.746631306419</v>
      </c>
    </row>
    <row r="11" spans="1:14" x14ac:dyDescent="0.25">
      <c r="A11" s="1">
        <v>6</v>
      </c>
      <c r="B11" s="4">
        <v>4.03542045515096E-64</v>
      </c>
      <c r="C11" s="1">
        <v>4.0201915693214598</v>
      </c>
      <c r="D11" s="1">
        <v>1.98617015566667</v>
      </c>
      <c r="F11" s="1">
        <v>6</v>
      </c>
      <c r="G11" s="4">
        <v>9.4562077706627492E-12</v>
      </c>
      <c r="H11" s="1">
        <v>25.737209725295799</v>
      </c>
      <c r="I11" s="1">
        <v>49.685662424979697</v>
      </c>
      <c r="K11" s="1">
        <v>6</v>
      </c>
      <c r="L11" s="4">
        <v>0.19930522146212401</v>
      </c>
      <c r="M11" s="1">
        <v>327.37333612724598</v>
      </c>
      <c r="N11" s="1">
        <v>137.85380518162299</v>
      </c>
    </row>
    <row r="12" spans="1:14" x14ac:dyDescent="0.25">
      <c r="A12" s="1">
        <v>7</v>
      </c>
      <c r="B12" s="4">
        <v>5.4233877723883095E-63</v>
      </c>
      <c r="C12" s="1">
        <v>5.3073682351271301E-2</v>
      </c>
      <c r="D12" s="1">
        <v>1.98617015566667</v>
      </c>
      <c r="F12" s="1">
        <v>7</v>
      </c>
      <c r="G12" s="4">
        <v>2.7028833199661001E-12</v>
      </c>
      <c r="H12" s="1">
        <v>25.4179886417589</v>
      </c>
      <c r="I12" s="1">
        <v>73.925174581612197</v>
      </c>
      <c r="K12" s="1">
        <v>7</v>
      </c>
      <c r="L12" s="4">
        <v>0.14805565222271699</v>
      </c>
      <c r="M12" s="1">
        <v>419.65446395862301</v>
      </c>
      <c r="N12" s="1">
        <v>177.80148717820001</v>
      </c>
    </row>
    <row r="13" spans="1:14" x14ac:dyDescent="0.25">
      <c r="A13" s="1">
        <v>8</v>
      </c>
      <c r="B13" s="4">
        <v>2.1254118323750501E-63</v>
      </c>
      <c r="C13" s="1">
        <v>0.13686950224114</v>
      </c>
      <c r="D13" s="1">
        <v>4.8354313645278699</v>
      </c>
      <c r="F13" s="1">
        <v>8</v>
      </c>
      <c r="G13" s="4">
        <v>5.3264895641155603E-11</v>
      </c>
      <c r="H13" s="1">
        <v>25.037097852798599</v>
      </c>
      <c r="I13" s="1">
        <v>34.7217309334346</v>
      </c>
      <c r="K13" s="1">
        <v>8</v>
      </c>
      <c r="L13" s="4">
        <v>0.35710695693104899</v>
      </c>
      <c r="M13" s="1">
        <v>418.33402471926797</v>
      </c>
      <c r="N13" s="1">
        <v>149.058298601746</v>
      </c>
    </row>
    <row r="14" spans="1:14" x14ac:dyDescent="0.25">
      <c r="A14" s="1">
        <v>9</v>
      </c>
      <c r="B14" s="4">
        <v>1.9821649982629099E-61</v>
      </c>
      <c r="C14" s="1">
        <v>0.230902103905023</v>
      </c>
      <c r="D14" s="1">
        <v>4.8354313645278699</v>
      </c>
      <c r="F14" s="1">
        <v>9</v>
      </c>
      <c r="G14" s="4">
        <v>3.92167946187478E-10</v>
      </c>
      <c r="H14" s="1">
        <v>25.444941399428998</v>
      </c>
      <c r="I14" s="1">
        <v>41.137878792625301</v>
      </c>
      <c r="K14" s="1">
        <v>9</v>
      </c>
      <c r="L14" s="4">
        <v>0.27296310455683598</v>
      </c>
      <c r="M14" s="1">
        <v>253.181496357903</v>
      </c>
      <c r="N14" s="1">
        <v>166.46519803332001</v>
      </c>
    </row>
    <row r="15" spans="1:14" x14ac:dyDescent="0.25">
      <c r="A15" s="1">
        <v>10</v>
      </c>
      <c r="B15" s="4">
        <v>1.1921160308257301E-61</v>
      </c>
      <c r="C15" s="1">
        <v>0.25590954934848498</v>
      </c>
      <c r="D15" s="1">
        <v>3.4108007600972701</v>
      </c>
      <c r="F15" s="1">
        <v>10</v>
      </c>
      <c r="G15" s="4">
        <v>8.9482837871367793E-12</v>
      </c>
      <c r="H15" s="1">
        <v>28.3707761172715</v>
      </c>
      <c r="I15" s="1">
        <v>38.995622731375398</v>
      </c>
      <c r="K15" s="1">
        <v>10</v>
      </c>
      <c r="L15" s="4">
        <v>0.884413944715154</v>
      </c>
      <c r="M15" s="1">
        <v>320.51956255353002</v>
      </c>
      <c r="N15" s="1">
        <v>117.057624576894</v>
      </c>
    </row>
    <row r="16" spans="1:14" x14ac:dyDescent="0.25">
      <c r="A16" s="1">
        <v>11</v>
      </c>
      <c r="B16" s="4">
        <v>7.3922675648675997E-64</v>
      </c>
      <c r="C16" s="1">
        <v>0.29021156059427</v>
      </c>
      <c r="D16" s="1">
        <v>1.98617015566667</v>
      </c>
      <c r="F16" s="1">
        <v>11</v>
      </c>
      <c r="G16" s="4">
        <v>7.6906420208632797E-11</v>
      </c>
      <c r="H16" s="1">
        <v>79.295652704665997</v>
      </c>
      <c r="I16" s="1">
        <v>56.1018102950556</v>
      </c>
      <c r="K16" s="1">
        <v>11</v>
      </c>
      <c r="L16" s="4">
        <v>0.256759792970429</v>
      </c>
      <c r="M16" s="1">
        <v>378.809685908532</v>
      </c>
      <c r="N16" s="1">
        <v>190.49530617601599</v>
      </c>
    </row>
    <row r="17" spans="1:14" x14ac:dyDescent="0.25">
      <c r="A17" s="1">
        <v>12</v>
      </c>
      <c r="B17" s="4">
        <v>1.22956265134883E-62</v>
      </c>
      <c r="C17" s="1">
        <v>4.0007960582419404</v>
      </c>
      <c r="D17" s="1">
        <v>4.8354313645278699</v>
      </c>
      <c r="F17" s="1">
        <v>12</v>
      </c>
      <c r="G17" s="4">
        <v>1.8654287671902701E-12</v>
      </c>
      <c r="H17" s="1">
        <v>24.193336846836399</v>
      </c>
      <c r="I17" s="1">
        <v>48.261031814737301</v>
      </c>
      <c r="K17" s="1">
        <v>12</v>
      </c>
      <c r="L17" s="4">
        <v>0.244659858381264</v>
      </c>
      <c r="M17" s="1">
        <v>276.00082407658198</v>
      </c>
      <c r="N17" s="1">
        <v>171.19618678566499</v>
      </c>
    </row>
    <row r="18" spans="1:14" x14ac:dyDescent="0.25">
      <c r="A18" s="1">
        <v>13</v>
      </c>
      <c r="B18" s="4">
        <v>2.92050366762766E-64</v>
      </c>
      <c r="C18" s="1">
        <v>4.6374450102423199E-2</v>
      </c>
      <c r="D18" s="1">
        <v>3.4108007600972701</v>
      </c>
      <c r="F18" s="1">
        <v>13</v>
      </c>
      <c r="G18" s="4">
        <v>2.5956144712729399E-10</v>
      </c>
      <c r="H18" s="1">
        <v>25.559641417602201</v>
      </c>
      <c r="I18" s="1">
        <v>34.004105458563302</v>
      </c>
      <c r="K18" s="1">
        <v>13</v>
      </c>
      <c r="L18" s="4">
        <v>0.17616399133628799</v>
      </c>
      <c r="M18" s="1">
        <v>498.051787759783</v>
      </c>
      <c r="N18" s="1">
        <v>159.177409642968</v>
      </c>
    </row>
    <row r="19" spans="1:14" x14ac:dyDescent="0.25">
      <c r="A19" s="1">
        <v>14</v>
      </c>
      <c r="B19" s="4">
        <v>2.36280669647073E-62</v>
      </c>
      <c r="C19" s="1">
        <v>0.16922034881987799</v>
      </c>
      <c r="D19" s="1">
        <v>1.98617015566667</v>
      </c>
      <c r="F19" s="1">
        <v>14</v>
      </c>
      <c r="G19" s="4">
        <v>3.4166833564715801E-11</v>
      </c>
      <c r="H19" s="1">
        <v>25.530909772811999</v>
      </c>
      <c r="I19" s="1">
        <v>68.216031852118903</v>
      </c>
      <c r="K19" s="1">
        <v>14</v>
      </c>
      <c r="L19" s="4">
        <v>2.6718493239776899</v>
      </c>
      <c r="M19" s="1">
        <v>343.68860062745898</v>
      </c>
      <c r="N19" s="1">
        <v>181.234109999781</v>
      </c>
    </row>
    <row r="20" spans="1:14" x14ac:dyDescent="0.25">
      <c r="A20" s="1">
        <v>15</v>
      </c>
      <c r="B20" s="4">
        <v>1.1148184149322399E-61</v>
      </c>
      <c r="C20" s="1">
        <v>6.9615585605281902E-2</v>
      </c>
      <c r="D20" s="1">
        <v>3.4108007600972701</v>
      </c>
      <c r="F20" s="1">
        <v>15</v>
      </c>
      <c r="G20" s="4">
        <v>5.7880191935833699E-11</v>
      </c>
      <c r="H20" s="1">
        <v>80.787138361213707</v>
      </c>
      <c r="I20" s="1">
        <v>48.260583078220101</v>
      </c>
      <c r="K20" s="1">
        <v>15</v>
      </c>
      <c r="L20" s="4">
        <v>0.27889515531268599</v>
      </c>
      <c r="M20" s="1">
        <v>263.91791855143902</v>
      </c>
      <c r="N20" s="1">
        <v>172.44726532501301</v>
      </c>
    </row>
    <row r="21" spans="1:14" x14ac:dyDescent="0.25">
      <c r="A21" s="1">
        <v>16</v>
      </c>
      <c r="B21" s="4">
        <v>9.6207171275041908E-62</v>
      </c>
      <c r="C21" s="4">
        <v>0.21015530062401799</v>
      </c>
      <c r="D21" s="1">
        <v>3.4108007600972701</v>
      </c>
      <c r="F21" s="1">
        <v>16</v>
      </c>
      <c r="G21" s="4">
        <v>8.17242408011227E-13</v>
      </c>
      <c r="H21" s="4">
        <v>28.5791771094236</v>
      </c>
      <c r="I21" s="1">
        <v>47.554026668472602</v>
      </c>
      <c r="K21" s="1">
        <v>16</v>
      </c>
      <c r="L21" s="4">
        <v>0.40809864158895198</v>
      </c>
      <c r="M21" s="4">
        <v>258.63161427052302</v>
      </c>
      <c r="N21" s="1">
        <v>178.21465343471399</v>
      </c>
    </row>
    <row r="22" spans="1:14" x14ac:dyDescent="0.25">
      <c r="A22" s="1">
        <v>17</v>
      </c>
      <c r="B22" s="4">
        <v>9.1943709379488895E-60</v>
      </c>
      <c r="C22" s="1">
        <v>3.9489094946755201</v>
      </c>
      <c r="D22" s="1">
        <v>3.4108007600972701</v>
      </c>
      <c r="F22" s="1">
        <v>17</v>
      </c>
      <c r="G22" s="4">
        <v>1.1388092092497099E-12</v>
      </c>
      <c r="H22" s="1">
        <v>79.337423742509401</v>
      </c>
      <c r="I22" s="1">
        <v>70.358287914294806</v>
      </c>
      <c r="K22" s="1">
        <v>17</v>
      </c>
      <c r="L22" s="4">
        <v>0.28757215911551698</v>
      </c>
      <c r="M22" s="1">
        <v>274.373590295062</v>
      </c>
      <c r="N22" s="1">
        <v>201.20948276585</v>
      </c>
    </row>
    <row r="23" spans="1:14" x14ac:dyDescent="0.25">
      <c r="A23" s="1">
        <v>18</v>
      </c>
      <c r="B23" s="4">
        <v>1.01587931227796E-62</v>
      </c>
      <c r="C23" s="1">
        <v>1.21469656192455E-2</v>
      </c>
      <c r="D23" s="1">
        <v>1.98617015566667</v>
      </c>
      <c r="F23" s="1">
        <v>18</v>
      </c>
      <c r="G23" s="4">
        <v>1.7135817983717801E-11</v>
      </c>
      <c r="H23" s="1">
        <v>25.771022401662499</v>
      </c>
      <c r="I23" s="1">
        <v>38.995174021846502</v>
      </c>
      <c r="K23" s="1">
        <v>18</v>
      </c>
      <c r="L23" s="4">
        <v>0.18629088923735701</v>
      </c>
      <c r="M23" s="1">
        <v>354.22248540821499</v>
      </c>
      <c r="N23" s="1">
        <v>137.66751339542799</v>
      </c>
    </row>
    <row r="24" spans="1:14" x14ac:dyDescent="0.25">
      <c r="A24" s="1">
        <v>19</v>
      </c>
      <c r="B24" s="4">
        <v>2.7013318433367599E-62</v>
      </c>
      <c r="C24" s="1">
        <v>0.174993981034367</v>
      </c>
      <c r="D24" s="1">
        <v>3.4108007600972701</v>
      </c>
      <c r="F24" s="1">
        <v>19</v>
      </c>
      <c r="G24" s="4">
        <v>8.8496305825386895E-11</v>
      </c>
      <c r="H24" s="1">
        <v>25.268519768474601</v>
      </c>
      <c r="I24" s="1">
        <v>29.012588187984399</v>
      </c>
      <c r="K24" s="1">
        <v>19</v>
      </c>
      <c r="L24" s="4">
        <v>0.74233122814900698</v>
      </c>
      <c r="M24" s="1">
        <v>325.77301393838502</v>
      </c>
      <c r="N24" s="1">
        <v>142.85298524560201</v>
      </c>
    </row>
    <row r="25" spans="1:14" x14ac:dyDescent="0.25">
      <c r="A25" s="1">
        <v>20</v>
      </c>
      <c r="B25" s="4">
        <v>3.1543929855102E-64</v>
      </c>
      <c r="C25" s="1">
        <v>0.17866177806295999</v>
      </c>
      <c r="D25" s="1">
        <v>3.4108007600972701</v>
      </c>
      <c r="F25" s="1">
        <v>20</v>
      </c>
      <c r="G25" s="4">
        <v>2.2980349879468401E-10</v>
      </c>
      <c r="H25" s="1">
        <v>25.202729193672901</v>
      </c>
      <c r="I25" s="1">
        <v>31.861849405147201</v>
      </c>
      <c r="K25" s="1">
        <v>20</v>
      </c>
      <c r="L25" s="4">
        <v>0.44244432689361102</v>
      </c>
      <c r="M25" s="1">
        <v>433.59419466133301</v>
      </c>
      <c r="N25" s="1">
        <v>176.989808539433</v>
      </c>
    </row>
    <row r="26" spans="1:14" x14ac:dyDescent="0.25">
      <c r="A26" s="1">
        <v>21</v>
      </c>
      <c r="B26" s="4">
        <v>1.9311548256207199E-62</v>
      </c>
      <c r="C26" s="1">
        <v>3.9317220386427398</v>
      </c>
      <c r="D26" s="1">
        <v>1.98617015566667</v>
      </c>
      <c r="F26" s="1">
        <v>21</v>
      </c>
      <c r="G26" s="4">
        <v>2.0211785191091E-11</v>
      </c>
      <c r="H26" s="1">
        <v>26.852986188665302</v>
      </c>
      <c r="I26" s="1">
        <v>26.163326978405699</v>
      </c>
      <c r="K26" s="1">
        <v>21</v>
      </c>
      <c r="L26" s="4">
        <v>0.19012240116740201</v>
      </c>
      <c r="M26" s="1">
        <v>219.025856416263</v>
      </c>
      <c r="N26" s="1">
        <v>206.98952687704099</v>
      </c>
    </row>
    <row r="27" spans="1:14" x14ac:dyDescent="0.25">
      <c r="A27" s="1">
        <v>22</v>
      </c>
      <c r="B27" s="4">
        <v>9.6525747962132206E-65</v>
      </c>
      <c r="C27" s="1">
        <v>0.22258423955492401</v>
      </c>
      <c r="D27" s="1">
        <v>1.98617015566667</v>
      </c>
      <c r="F27" s="1">
        <v>22</v>
      </c>
      <c r="G27" s="4">
        <v>4.6574236099275299E-12</v>
      </c>
      <c r="H27" s="1">
        <v>25.647624996703101</v>
      </c>
      <c r="I27" s="1">
        <v>30.4372187942182</v>
      </c>
      <c r="K27" s="1">
        <v>22</v>
      </c>
      <c r="L27" s="4">
        <v>0.16852400404682399</v>
      </c>
      <c r="M27" s="1">
        <v>431.11087807099801</v>
      </c>
      <c r="N27" s="1">
        <v>132.19806566435301</v>
      </c>
    </row>
    <row r="28" spans="1:14" x14ac:dyDescent="0.25">
      <c r="A28" s="1">
        <v>23</v>
      </c>
      <c r="B28" s="4">
        <v>8.7321657414885001E-63</v>
      </c>
      <c r="C28" s="1">
        <v>0.189783688193605</v>
      </c>
      <c r="D28" s="1">
        <v>1.98617015566667</v>
      </c>
      <c r="F28" s="1">
        <v>23</v>
      </c>
      <c r="G28" s="4">
        <v>3.2812560941154901E-11</v>
      </c>
      <c r="H28" s="1">
        <v>73.599963940532007</v>
      </c>
      <c r="I28" s="1">
        <v>40.420253334551802</v>
      </c>
      <c r="K28" s="1">
        <v>23</v>
      </c>
      <c r="L28" s="4">
        <v>0.241551721675199</v>
      </c>
      <c r="M28" s="1">
        <v>508.89813866780003</v>
      </c>
      <c r="N28" s="1">
        <v>155.34273731807801</v>
      </c>
    </row>
    <row r="29" spans="1:14" x14ac:dyDescent="0.25">
      <c r="A29" s="1">
        <v>24</v>
      </c>
      <c r="B29" s="4">
        <v>4.71102864099045E-63</v>
      </c>
      <c r="C29" s="1">
        <v>0.13402793872149599</v>
      </c>
      <c r="D29" s="1">
        <v>1.98617015566667</v>
      </c>
      <c r="F29" s="1">
        <v>24</v>
      </c>
      <c r="G29" s="4">
        <v>2.1997079995966599E-11</v>
      </c>
      <c r="H29" s="1">
        <v>25.025702336089701</v>
      </c>
      <c r="I29" s="1">
        <v>46.118327015887402</v>
      </c>
      <c r="K29" s="1">
        <v>24</v>
      </c>
      <c r="L29" s="4">
        <v>0.83542058364697402</v>
      </c>
      <c r="M29" s="1">
        <v>343.07047292977398</v>
      </c>
      <c r="N29" s="1">
        <v>146.565899501118</v>
      </c>
    </row>
    <row r="30" spans="1:14" x14ac:dyDescent="0.25">
      <c r="A30" s="1">
        <v>25</v>
      </c>
      <c r="B30" s="4">
        <v>3.1821916651827803E-61</v>
      </c>
      <c r="C30" s="1">
        <v>0.16059535194417901</v>
      </c>
      <c r="D30" s="1">
        <v>1.98617015566667</v>
      </c>
      <c r="F30" s="1">
        <v>25</v>
      </c>
      <c r="G30" s="4">
        <v>1.43167391807328E-10</v>
      </c>
      <c r="H30" s="1">
        <v>22.487177688236699</v>
      </c>
      <c r="I30" s="1">
        <v>31.1548442512549</v>
      </c>
      <c r="K30" s="1">
        <v>25</v>
      </c>
      <c r="L30" s="4">
        <v>0.40761399384292601</v>
      </c>
      <c r="M30" s="1">
        <v>425.60209053456902</v>
      </c>
      <c r="N30" s="1">
        <v>164.947720044595</v>
      </c>
    </row>
    <row r="31" spans="1:14" x14ac:dyDescent="0.25">
      <c r="A31" s="1">
        <v>26</v>
      </c>
      <c r="B31" s="4">
        <v>3.1744080495388598E-63</v>
      </c>
      <c r="C31" s="1">
        <v>9.5175337047817304E-2</v>
      </c>
      <c r="D31" s="1">
        <v>3.4108007600972701</v>
      </c>
      <c r="F31" s="1">
        <v>26</v>
      </c>
      <c r="G31" s="4">
        <v>1.2775300429823401E-11</v>
      </c>
      <c r="H31" s="1">
        <v>29.334795756138199</v>
      </c>
      <c r="I31" s="1">
        <v>23.314065769503902</v>
      </c>
      <c r="K31" s="1">
        <v>26</v>
      </c>
      <c r="L31" s="4">
        <v>0.178615945078344</v>
      </c>
      <c r="M31" s="1">
        <v>220.62391815584499</v>
      </c>
      <c r="N31" s="1">
        <v>136.62978449603901</v>
      </c>
    </row>
    <row r="32" spans="1:14" x14ac:dyDescent="0.25">
      <c r="A32" s="1">
        <v>27</v>
      </c>
      <c r="B32" s="4">
        <v>4.2713053687728998E-63</v>
      </c>
      <c r="C32" s="1">
        <v>0.19168716277967299</v>
      </c>
      <c r="D32" s="1">
        <v>1.98617015566667</v>
      </c>
      <c r="F32" s="1">
        <v>27</v>
      </c>
      <c r="G32" s="4">
        <v>6.2025067373328604E-12</v>
      </c>
      <c r="H32" s="1">
        <v>26.615599769988499</v>
      </c>
      <c r="I32" s="1">
        <v>34.721730930249898</v>
      </c>
      <c r="K32" s="1">
        <v>27</v>
      </c>
      <c r="L32" s="4">
        <v>0.16689423890934199</v>
      </c>
      <c r="M32" s="1">
        <v>332.41857658280298</v>
      </c>
      <c r="N32" s="1">
        <v>172.29983191419899</v>
      </c>
    </row>
    <row r="33" spans="1:14" x14ac:dyDescent="0.25">
      <c r="A33" s="1">
        <v>28</v>
      </c>
      <c r="B33" s="4">
        <v>2.3202342838688699E-63</v>
      </c>
      <c r="C33" s="1">
        <v>4.0269931097917304</v>
      </c>
      <c r="D33" s="1">
        <v>1.98617015566667</v>
      </c>
      <c r="F33" s="1">
        <v>28</v>
      </c>
      <c r="G33" s="4">
        <v>6.4708512292694599E-11</v>
      </c>
      <c r="H33" s="1">
        <v>26.185517718242799</v>
      </c>
      <c r="I33" s="1">
        <v>34.004105458763298</v>
      </c>
      <c r="K33" s="1">
        <v>28</v>
      </c>
      <c r="L33" s="4">
        <v>15.779722971501601</v>
      </c>
      <c r="M33" s="1">
        <v>390.783841643404</v>
      </c>
      <c r="N33" s="1">
        <v>175.046272134975</v>
      </c>
    </row>
    <row r="34" spans="1:14" x14ac:dyDescent="0.25">
      <c r="A34" s="1">
        <v>29</v>
      </c>
      <c r="B34" s="4">
        <v>7.8681846443196008E-62</v>
      </c>
      <c r="C34" s="1">
        <v>0.213941053664567</v>
      </c>
      <c r="D34" s="1">
        <v>1.98617015566667</v>
      </c>
      <c r="F34" s="1">
        <v>29</v>
      </c>
      <c r="G34" s="4">
        <v>4.4987276928606897E-11</v>
      </c>
      <c r="H34" s="1">
        <v>25.2136443896575</v>
      </c>
      <c r="I34" s="1">
        <v>44.693696412605199</v>
      </c>
      <c r="K34" s="1">
        <v>29</v>
      </c>
      <c r="L34" s="4">
        <v>0.593218694349675</v>
      </c>
      <c r="M34" s="1">
        <v>510.31372261522398</v>
      </c>
      <c r="N34" s="1">
        <v>142.17965831134799</v>
      </c>
    </row>
    <row r="35" spans="1:14" x14ac:dyDescent="0.25">
      <c r="A35" s="1">
        <v>30</v>
      </c>
      <c r="B35" s="4">
        <v>9.2154689195326698E-60</v>
      </c>
      <c r="C35" s="1">
        <v>0.255319569911859</v>
      </c>
      <c r="D35" s="1">
        <v>1.98617015566667</v>
      </c>
      <c r="F35" s="1">
        <v>30</v>
      </c>
      <c r="G35" s="4">
        <v>2.1988470439314899E-10</v>
      </c>
      <c r="H35" s="1">
        <v>25.916720047978199</v>
      </c>
      <c r="I35" s="1">
        <v>49.685662419514401</v>
      </c>
      <c r="K35" s="1">
        <v>30</v>
      </c>
      <c r="L35" s="4">
        <v>0.463297309806108</v>
      </c>
      <c r="M35" s="1">
        <v>2426.14921888963</v>
      </c>
      <c r="N35" s="1">
        <v>196.33628014292299</v>
      </c>
    </row>
    <row r="36" spans="1:14" x14ac:dyDescent="0.25">
      <c r="A36" s="1">
        <v>31</v>
      </c>
      <c r="B36" s="4">
        <v>1.37867676177431E-60</v>
      </c>
      <c r="C36" s="1">
        <v>0.27029041745523502</v>
      </c>
      <c r="D36" s="1">
        <v>3.4108007600972701</v>
      </c>
      <c r="F36" s="1">
        <v>31</v>
      </c>
      <c r="G36" s="4">
        <v>2.2920213046851499E-12</v>
      </c>
      <c r="H36" s="1">
        <v>23.136295507857199</v>
      </c>
      <c r="I36" s="1">
        <v>41.126809744420903</v>
      </c>
      <c r="K36" s="1">
        <v>31</v>
      </c>
      <c r="L36" s="4">
        <v>7.53383301225624E-2</v>
      </c>
      <c r="M36" s="1">
        <v>242.10316941593601</v>
      </c>
      <c r="N36" s="1">
        <v>179.08863324074699</v>
      </c>
    </row>
    <row r="37" spans="1:14" x14ac:dyDescent="0.25">
      <c r="A37" s="1">
        <v>32</v>
      </c>
      <c r="B37" s="4">
        <v>2.4574843654917899E-62</v>
      </c>
      <c r="C37" s="1">
        <v>0.27096060564465202</v>
      </c>
      <c r="D37" s="1">
        <v>3.4108007600972701</v>
      </c>
      <c r="F37" s="1">
        <v>32</v>
      </c>
      <c r="G37" s="4">
        <v>9.8301859168671795E-8</v>
      </c>
      <c r="H37" s="1">
        <v>79.200787849687799</v>
      </c>
      <c r="I37" s="1">
        <v>46.118775754530901</v>
      </c>
      <c r="K37" s="1">
        <v>32</v>
      </c>
      <c r="L37" s="4">
        <v>9.8921730053388404E-2</v>
      </c>
      <c r="M37" s="1">
        <v>474.784757973073</v>
      </c>
      <c r="N37" s="1">
        <v>131.922511912353</v>
      </c>
    </row>
    <row r="38" spans="1:14" x14ac:dyDescent="0.25">
      <c r="A38" s="1">
        <v>33</v>
      </c>
      <c r="B38" s="4">
        <v>1.3665082330088601E-62</v>
      </c>
      <c r="C38" s="1">
        <v>0.19051730023635499</v>
      </c>
      <c r="D38" s="1">
        <v>3.4108007600972701</v>
      </c>
      <c r="F38" s="1">
        <v>33</v>
      </c>
      <c r="G38" s="4">
        <v>7.1849678999214403E-11</v>
      </c>
      <c r="H38" s="1">
        <v>19.8363366972895</v>
      </c>
      <c r="I38" s="1">
        <v>32.579474854227001</v>
      </c>
      <c r="K38" s="1">
        <v>33</v>
      </c>
      <c r="L38" s="4">
        <v>9.5473712084492998E-2</v>
      </c>
      <c r="M38" s="1">
        <v>261.04196318702901</v>
      </c>
      <c r="N38" s="1">
        <v>181.56656984421701</v>
      </c>
    </row>
    <row r="39" spans="1:14" x14ac:dyDescent="0.25">
      <c r="A39" s="1">
        <v>34</v>
      </c>
      <c r="B39" s="4">
        <v>7.00939409332813E-65</v>
      </c>
      <c r="C39" s="1">
        <v>0.260734121933407</v>
      </c>
      <c r="D39" s="1">
        <v>1.98617015566667</v>
      </c>
      <c r="F39" s="1">
        <v>34</v>
      </c>
      <c r="G39" s="4">
        <v>6.48668393209697E-11</v>
      </c>
      <c r="H39" s="1">
        <v>25.260120888218498</v>
      </c>
      <c r="I39" s="1">
        <v>66.7909525117214</v>
      </c>
      <c r="K39" s="1">
        <v>34</v>
      </c>
      <c r="L39" s="4">
        <v>0.345472639917006</v>
      </c>
      <c r="M39" s="1">
        <v>325.78079529934598</v>
      </c>
      <c r="N39" s="1">
        <v>128.81120078375599</v>
      </c>
    </row>
    <row r="40" spans="1:14" x14ac:dyDescent="0.25">
      <c r="A40" s="1">
        <v>35</v>
      </c>
      <c r="B40" s="4">
        <v>1.52343168508453E-61</v>
      </c>
      <c r="C40" s="1">
        <v>0.163382688626453</v>
      </c>
      <c r="D40" s="1">
        <v>1.98617015566667</v>
      </c>
      <c r="F40" s="1">
        <v>35</v>
      </c>
      <c r="G40" s="4">
        <v>3.4197038203430601E-11</v>
      </c>
      <c r="H40" s="1">
        <v>27.946259599094301</v>
      </c>
      <c r="I40" s="1">
        <v>29.012588187294298</v>
      </c>
      <c r="K40" s="1">
        <v>35</v>
      </c>
      <c r="L40" s="4">
        <v>0.39434022546654302</v>
      </c>
      <c r="M40" s="1">
        <v>512.84097923135505</v>
      </c>
      <c r="N40" s="1">
        <v>181.72583307491999</v>
      </c>
    </row>
    <row r="41" spans="1:14" x14ac:dyDescent="0.25">
      <c r="A41" s="1">
        <v>36</v>
      </c>
      <c r="B41" s="4">
        <v>3.0394209030188302E-63</v>
      </c>
      <c r="C41" s="1">
        <v>0.285918783019871</v>
      </c>
      <c r="D41" s="1">
        <v>4.8354313645278699</v>
      </c>
      <c r="F41" s="1">
        <v>36</v>
      </c>
      <c r="G41" s="4">
        <v>4.9921398185951103E-12</v>
      </c>
      <c r="H41" s="1">
        <v>21.936272431462001</v>
      </c>
      <c r="I41" s="1">
        <v>51.109844293223198</v>
      </c>
      <c r="K41" s="1">
        <v>36</v>
      </c>
      <c r="L41" s="4">
        <v>0.116922589891405</v>
      </c>
      <c r="M41" s="1">
        <v>463.33400092518298</v>
      </c>
      <c r="N41" s="1">
        <v>176.25319354498799</v>
      </c>
    </row>
    <row r="42" spans="1:14" x14ac:dyDescent="0.25">
      <c r="A42" s="1">
        <v>37</v>
      </c>
      <c r="B42" s="4">
        <v>1.9479079102201499E-62</v>
      </c>
      <c r="C42" s="1">
        <v>0.19131512799488601</v>
      </c>
      <c r="D42" s="1">
        <v>3.4108007600972701</v>
      </c>
      <c r="F42" s="1">
        <v>37</v>
      </c>
      <c r="G42" s="4">
        <v>2.28950736305808E-12</v>
      </c>
      <c r="H42" s="1">
        <v>24.168935439076201</v>
      </c>
      <c r="I42" s="1">
        <v>37.570992125597598</v>
      </c>
      <c r="K42" s="1">
        <v>37</v>
      </c>
      <c r="L42" s="4">
        <v>8.5102822654845506E-2</v>
      </c>
      <c r="M42" s="1">
        <v>372.81191545777898</v>
      </c>
      <c r="N42" s="1">
        <v>162.18425987306301</v>
      </c>
    </row>
    <row r="43" spans="1:14" x14ac:dyDescent="0.25">
      <c r="A43" s="1">
        <v>38</v>
      </c>
      <c r="B43" s="4">
        <v>7.8914769800538896E-63</v>
      </c>
      <c r="C43" s="1">
        <v>0.17033597409291901</v>
      </c>
      <c r="D43" s="1">
        <v>3.4108007600972701</v>
      </c>
      <c r="F43" s="1">
        <v>38</v>
      </c>
      <c r="G43" s="4">
        <v>6.5077096458125905E-11</v>
      </c>
      <c r="H43" s="1">
        <v>25.118980880789</v>
      </c>
      <c r="I43" s="1">
        <v>83.908657862358893</v>
      </c>
      <c r="K43" s="1">
        <v>38</v>
      </c>
      <c r="L43" s="4">
        <v>2.7846407421892301</v>
      </c>
      <c r="M43" s="1">
        <v>289.655095524123</v>
      </c>
      <c r="N43" s="1">
        <v>168.444675811096</v>
      </c>
    </row>
    <row r="44" spans="1:14" x14ac:dyDescent="0.25">
      <c r="A44" s="1">
        <v>39</v>
      </c>
      <c r="B44" s="4">
        <v>3.3862774164791697E-63</v>
      </c>
      <c r="C44" s="1">
        <v>0.24818850713630899</v>
      </c>
      <c r="D44" s="1">
        <v>3.4108007600972701</v>
      </c>
      <c r="F44" s="1">
        <v>39</v>
      </c>
      <c r="G44" s="4">
        <v>2.9453857008488601E-11</v>
      </c>
      <c r="H44" s="1">
        <v>29.9001613341891</v>
      </c>
      <c r="I44" s="1">
        <v>32.579026117503098</v>
      </c>
      <c r="K44" s="1">
        <v>39</v>
      </c>
      <c r="L44" s="4">
        <v>0.45786398437602199</v>
      </c>
      <c r="M44" s="1">
        <v>276.35868541690297</v>
      </c>
      <c r="N44" s="1">
        <v>156.49461067272699</v>
      </c>
    </row>
    <row r="45" spans="1:14" x14ac:dyDescent="0.25">
      <c r="A45" s="1">
        <v>40</v>
      </c>
      <c r="B45" s="4">
        <v>7.3124653434342796E-63</v>
      </c>
      <c r="C45" s="1">
        <v>2.9611857492016301E-2</v>
      </c>
      <c r="D45" s="1">
        <v>1.98617015566667</v>
      </c>
      <c r="F45" s="1">
        <v>40</v>
      </c>
      <c r="G45" s="4">
        <v>1.6718738004757799E-10</v>
      </c>
      <c r="H45" s="1">
        <v>25.445200437474899</v>
      </c>
      <c r="I45" s="1">
        <v>40.420253340328998</v>
      </c>
      <c r="K45" s="1">
        <v>40</v>
      </c>
      <c r="L45" s="4">
        <v>0.48452247232824502</v>
      </c>
      <c r="M45" s="1">
        <v>491.79691849955202</v>
      </c>
      <c r="N45" s="1">
        <v>208.264568645672</v>
      </c>
    </row>
    <row r="46" spans="1:14" x14ac:dyDescent="0.25">
      <c r="A46" s="1">
        <v>41</v>
      </c>
      <c r="B46" s="4">
        <v>1.0819241595595E-62</v>
      </c>
      <c r="C46" s="1">
        <v>3.94577396155618</v>
      </c>
      <c r="D46" s="1">
        <v>3.4108007600972701</v>
      </c>
      <c r="F46" s="1">
        <v>41</v>
      </c>
      <c r="G46" s="4">
        <v>3.32726715505833E-12</v>
      </c>
      <c r="H46" s="1">
        <v>77.813147091194097</v>
      </c>
      <c r="I46" s="1">
        <v>34.004105459255399</v>
      </c>
      <c r="K46" s="1">
        <v>41</v>
      </c>
      <c r="L46" s="4">
        <v>0.25480565692944201</v>
      </c>
      <c r="M46" s="1">
        <v>447.897467331153</v>
      </c>
      <c r="N46" s="1">
        <v>123.073939477236</v>
      </c>
    </row>
    <row r="47" spans="1:14" x14ac:dyDescent="0.25">
      <c r="A47" s="1">
        <v>42</v>
      </c>
      <c r="B47" s="4">
        <v>2.4903341902387902E-63</v>
      </c>
      <c r="C47" s="1">
        <v>8.1644939053930991E-3</v>
      </c>
      <c r="D47" s="1">
        <v>1.98617015566667</v>
      </c>
      <c r="F47" s="1">
        <v>42</v>
      </c>
      <c r="G47" s="4">
        <v>1.42370909243822E-11</v>
      </c>
      <c r="H47" s="1">
        <v>23.539523391460801</v>
      </c>
      <c r="I47" s="1">
        <v>40.420253334674101</v>
      </c>
      <c r="K47" s="1">
        <v>42</v>
      </c>
      <c r="L47" s="4">
        <v>0.198797603408679</v>
      </c>
      <c r="M47" s="1">
        <v>347.017598090653</v>
      </c>
      <c r="N47" s="1">
        <v>167.87015101793099</v>
      </c>
    </row>
    <row r="48" spans="1:14" x14ac:dyDescent="0.25">
      <c r="A48" s="1">
        <v>43</v>
      </c>
      <c r="B48" s="4">
        <v>1.5444997336147701E-62</v>
      </c>
      <c r="C48" s="1">
        <v>0.13463274546632401</v>
      </c>
      <c r="D48" s="1">
        <v>3.4108007600972701</v>
      </c>
      <c r="F48" s="1">
        <v>43</v>
      </c>
      <c r="G48" s="4">
        <v>1.6939821658793098E-11</v>
      </c>
      <c r="H48" s="1">
        <v>25.551017501430401</v>
      </c>
      <c r="I48" s="1">
        <v>35.4287360630412</v>
      </c>
      <c r="K48" s="1">
        <v>43</v>
      </c>
      <c r="L48" s="4">
        <v>0.70147470850384497</v>
      </c>
      <c r="M48" s="1">
        <v>371.03420048098502</v>
      </c>
      <c r="N48" s="1">
        <v>144.84831670279101</v>
      </c>
    </row>
    <row r="49" spans="1:14" x14ac:dyDescent="0.25">
      <c r="A49" s="1">
        <v>44</v>
      </c>
      <c r="B49" s="4">
        <v>3.5500836101893998E-63</v>
      </c>
      <c r="C49" s="1">
        <v>0.32228261251359303</v>
      </c>
      <c r="D49" s="1">
        <v>1.98617015566667</v>
      </c>
      <c r="F49" s="1">
        <v>44</v>
      </c>
      <c r="G49" s="4">
        <v>4.0695567605196597E-8</v>
      </c>
      <c r="H49" s="1">
        <v>25.2610379701004</v>
      </c>
      <c r="I49" s="1">
        <v>40.420253335389503</v>
      </c>
      <c r="K49" s="1">
        <v>44</v>
      </c>
      <c r="L49" s="4">
        <v>0.160931616011634</v>
      </c>
      <c r="M49" s="1">
        <v>474.00115362953198</v>
      </c>
      <c r="N49" s="1">
        <v>141.98145753404299</v>
      </c>
    </row>
    <row r="50" spans="1:14" x14ac:dyDescent="0.25">
      <c r="A50" s="1">
        <v>45</v>
      </c>
      <c r="B50" s="4">
        <v>6.7643009088315303E-62</v>
      </c>
      <c r="C50" s="1">
        <v>0.217453618701447</v>
      </c>
      <c r="D50" s="1">
        <v>3.4108007600972701</v>
      </c>
      <c r="F50" s="1">
        <v>45</v>
      </c>
      <c r="G50" s="4">
        <v>6.62192763454569E-11</v>
      </c>
      <c r="H50" s="1">
        <v>26.970333324790001</v>
      </c>
      <c r="I50" s="1">
        <v>41.844883948863497</v>
      </c>
      <c r="K50" s="1">
        <v>45</v>
      </c>
      <c r="L50" s="4">
        <v>0.19620704139349501</v>
      </c>
      <c r="M50" s="1">
        <v>3209.9791164871199</v>
      </c>
      <c r="N50" s="1">
        <v>145.84012779898799</v>
      </c>
    </row>
    <row r="51" spans="1:14" x14ac:dyDescent="0.25">
      <c r="A51" s="1">
        <v>46</v>
      </c>
      <c r="B51" s="4">
        <v>1.24198920361416E-63</v>
      </c>
      <c r="C51" s="1">
        <v>9.6555815789054103E-2</v>
      </c>
      <c r="D51" s="1">
        <v>3.4108007600972701</v>
      </c>
      <c r="F51" s="1">
        <v>46</v>
      </c>
      <c r="G51" s="4">
        <v>6.0491812660437598E-10</v>
      </c>
      <c r="H51" s="1">
        <v>25.186748130251299</v>
      </c>
      <c r="I51" s="1">
        <v>24.738696374113399</v>
      </c>
      <c r="K51" s="1">
        <v>46</v>
      </c>
      <c r="L51" s="4">
        <v>0.49059506443566298</v>
      </c>
      <c r="M51" s="1">
        <v>443.36903893771398</v>
      </c>
      <c r="N51" s="1">
        <v>134.92159217736699</v>
      </c>
    </row>
    <row r="52" spans="1:14" x14ac:dyDescent="0.25">
      <c r="A52" s="1">
        <v>47</v>
      </c>
      <c r="B52" s="4">
        <v>1.79938509520721E-61</v>
      </c>
      <c r="C52" s="1">
        <v>0.27244949629285597</v>
      </c>
      <c r="D52" s="1">
        <v>1.98617015566667</v>
      </c>
      <c r="F52" s="1">
        <v>47</v>
      </c>
      <c r="G52" s="4">
        <v>9.8394346248817399E-12</v>
      </c>
      <c r="H52" s="1">
        <v>25.652767362292199</v>
      </c>
      <c r="I52" s="1">
        <v>29.0125881879712</v>
      </c>
      <c r="K52" s="1">
        <v>47</v>
      </c>
      <c r="L52" s="4">
        <v>7.8593664532275398E-2</v>
      </c>
      <c r="M52" s="1">
        <v>251.09687105867201</v>
      </c>
      <c r="N52" s="1">
        <v>166.09337655031999</v>
      </c>
    </row>
    <row r="53" spans="1:14" x14ac:dyDescent="0.25">
      <c r="A53" s="1">
        <v>48</v>
      </c>
      <c r="B53" s="4">
        <v>1.3120599688647399E-62</v>
      </c>
      <c r="C53" s="1">
        <v>1.4731424026478999E-2</v>
      </c>
      <c r="D53" s="1">
        <v>3.4108007600972701</v>
      </c>
      <c r="F53" s="1">
        <v>48</v>
      </c>
      <c r="G53" s="4">
        <v>1.24960920968362E-11</v>
      </c>
      <c r="H53" s="1">
        <v>25.9026655637057</v>
      </c>
      <c r="I53" s="1">
        <v>31.154844249888502</v>
      </c>
      <c r="K53" s="1">
        <v>48</v>
      </c>
      <c r="L53" s="4">
        <v>0.204730893868244</v>
      </c>
      <c r="M53" s="1">
        <v>385.28756494560201</v>
      </c>
      <c r="N53" s="1">
        <v>148.14567356993899</v>
      </c>
    </row>
    <row r="54" spans="1:14" x14ac:dyDescent="0.25">
      <c r="A54" s="1">
        <v>49</v>
      </c>
      <c r="B54" s="4">
        <v>2.0645541483513201E-60</v>
      </c>
      <c r="C54" s="1">
        <v>0.259486076595071</v>
      </c>
      <c r="D54" s="1">
        <v>3.41080898737671</v>
      </c>
      <c r="F54" s="1">
        <v>49</v>
      </c>
      <c r="G54" s="4">
        <v>4.7765384380258002E-11</v>
      </c>
      <c r="H54" s="1">
        <v>25.4793455193714</v>
      </c>
      <c r="I54" s="1">
        <v>29.012588191934899</v>
      </c>
      <c r="K54" s="1">
        <v>49</v>
      </c>
      <c r="L54" s="4">
        <v>1.2442829306594401</v>
      </c>
      <c r="M54" s="1">
        <v>414.43310152925102</v>
      </c>
      <c r="N54" s="1">
        <v>150.795862910778</v>
      </c>
    </row>
    <row r="55" spans="1:14" x14ac:dyDescent="0.25">
      <c r="A55" s="1">
        <v>50</v>
      </c>
      <c r="B55" s="4">
        <v>2.3523812767717899E-62</v>
      </c>
      <c r="C55" s="1">
        <v>0.33282965944166398</v>
      </c>
      <c r="D55" s="1">
        <v>1.98617015566667</v>
      </c>
      <c r="F55" s="1">
        <v>50</v>
      </c>
      <c r="G55" s="4">
        <v>2.9510562502987199E-13</v>
      </c>
      <c r="H55" s="1">
        <v>26.549968337522401</v>
      </c>
      <c r="I55" s="1">
        <v>31.872469708311499</v>
      </c>
      <c r="K55" s="1">
        <v>50</v>
      </c>
      <c r="L55" s="4">
        <v>0.213045745571356</v>
      </c>
      <c r="M55" s="1">
        <v>430.07262625926899</v>
      </c>
      <c r="N55" s="1">
        <v>181.163676574661</v>
      </c>
    </row>
    <row r="56" spans="1:14" x14ac:dyDescent="0.25">
      <c r="A56" s="3" t="s">
        <v>5</v>
      </c>
      <c r="B56" s="4">
        <f>AVERAGE(B6:B55)</f>
        <v>4.7161548958566513E-61</v>
      </c>
      <c r="C56" s="4">
        <f>AVERAGE(C6:C55)</f>
        <v>0.72572727401930193</v>
      </c>
      <c r="D56" s="4">
        <f>AVERAGE(D6:D55)</f>
        <v>2.8979339070478418</v>
      </c>
      <c r="F56" s="3" t="s">
        <v>5</v>
      </c>
      <c r="G56" s="4">
        <f>AVERAGE(G6:G55)</f>
        <v>2.8487904391706897E-9</v>
      </c>
      <c r="H56" s="4">
        <f>AVERAGE(H6:H55)</f>
        <v>33.009459886559178</v>
      </c>
      <c r="I56" s="4">
        <f>AVERAGE(I6:I55)</f>
        <v>40.833394718544412</v>
      </c>
      <c r="K56" s="3" t="s">
        <v>5</v>
      </c>
      <c r="L56" s="4">
        <f>AVERAGE(L6:L55)</f>
        <v>0.81224452254281443</v>
      </c>
      <c r="M56" s="4">
        <f>AVERAGE(M6:M55)</f>
        <v>464.22507649581303</v>
      </c>
      <c r="N56" s="4">
        <f>AVERAGE(N6:N55)</f>
        <v>163.18460812154169</v>
      </c>
    </row>
    <row r="57" spans="1:14" x14ac:dyDescent="0.25">
      <c r="A57" s="3" t="s">
        <v>17</v>
      </c>
      <c r="B57" s="4">
        <f>MEDIAN(B6:B55)</f>
        <v>1.0742145444548551E-62</v>
      </c>
      <c r="C57" s="4">
        <f>MEDIAN(C6:C55)</f>
        <v>0.21569733618300702</v>
      </c>
      <c r="D57" s="4">
        <f>MEDIAN(D6:D55)</f>
        <v>3.4108007600972701</v>
      </c>
      <c r="F57" s="3" t="s">
        <v>17</v>
      </c>
      <c r="G57" s="4">
        <f>MEDIAN(G6:G55)</f>
        <v>3.3489697252935351E-11</v>
      </c>
      <c r="H57" s="4">
        <f>MEDIAN(H6:H55)</f>
        <v>25.650196179497648</v>
      </c>
      <c r="I57" s="4">
        <f>MEDIAN(I6:I55)</f>
        <v>38.995398376132655</v>
      </c>
      <c r="K57" s="3" t="s">
        <v>17</v>
      </c>
      <c r="L57" s="4">
        <f>MEDIAN(L6:L55)</f>
        <v>0.28323365721410149</v>
      </c>
      <c r="M57" s="4">
        <f>MEDIAN(M6:M55)</f>
        <v>371.923057969382</v>
      </c>
      <c r="N57" s="4">
        <f>MEDIAN(N6:N55)</f>
        <v>165.52054829745748</v>
      </c>
    </row>
    <row r="58" spans="1:14" x14ac:dyDescent="0.25">
      <c r="A58" s="3" t="s">
        <v>36</v>
      </c>
      <c r="B58" s="1">
        <f>_xlfn.VAR.S(B6:B55)</f>
        <v>3.362539240025236E-120</v>
      </c>
      <c r="C58" s="1">
        <f t="shared" ref="C58:D58" si="0">_xlfn.VAR.S(C6:C55)</f>
        <v>1.8276016715982828</v>
      </c>
      <c r="D58" s="1">
        <f t="shared" si="0"/>
        <v>0.97419490458439761</v>
      </c>
      <c r="F58" s="3" t="s">
        <v>36</v>
      </c>
      <c r="G58" s="1">
        <f>_xlfn.VAR.S(G6:G55)</f>
        <v>2.22744003308993E-16</v>
      </c>
      <c r="H58" s="1">
        <f t="shared" ref="H58:I58" si="1">_xlfn.VAR.S(H6:H55)</f>
        <v>348.72146383982124</v>
      </c>
      <c r="I58" s="1">
        <f t="shared" si="1"/>
        <v>173.79929813718167</v>
      </c>
      <c r="K58" s="3" t="s">
        <v>36</v>
      </c>
      <c r="L58" s="1">
        <f>_xlfn.VAR.S(L6:L55)</f>
        <v>5.1716958432758426</v>
      </c>
      <c r="M58" s="1">
        <f t="shared" ref="M58:N58" si="2">_xlfn.VAR.S(M6:M55)</f>
        <v>249121.58767028153</v>
      </c>
      <c r="N58" s="1">
        <f t="shared" si="2"/>
        <v>512.81241267621613</v>
      </c>
    </row>
  </sheetData>
  <mergeCells count="6">
    <mergeCell ref="K4:L4"/>
    <mergeCell ref="M4:N4"/>
    <mergeCell ref="A4:B4"/>
    <mergeCell ref="C4:D4"/>
    <mergeCell ref="F4:G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C485-220E-452F-B25A-01C9CF394432}">
  <dimension ref="A1:N58"/>
  <sheetViews>
    <sheetView workbookViewId="0">
      <selection activeCell="K58" sqref="K58:N58"/>
    </sheetView>
  </sheetViews>
  <sheetFormatPr defaultRowHeight="15" x14ac:dyDescent="0.25"/>
  <cols>
    <col min="3" max="3" width="11.7109375" bestFit="1" customWidth="1"/>
    <col min="8" max="8" width="11.7109375" bestFit="1" customWidth="1"/>
    <col min="13" max="13" width="11.7109375" bestFit="1" customWidth="1"/>
  </cols>
  <sheetData>
    <row r="1" spans="1:14" x14ac:dyDescent="0.25">
      <c r="A1" s="5" t="s">
        <v>14</v>
      </c>
      <c r="B1" s="6">
        <v>0.6</v>
      </c>
      <c r="C1" s="6">
        <v>0.6</v>
      </c>
      <c r="D1" s="6">
        <v>0.6</v>
      </c>
      <c r="F1" s="5" t="s">
        <v>14</v>
      </c>
      <c r="G1" s="6">
        <v>0.6</v>
      </c>
      <c r="H1" s="6">
        <v>0.6</v>
      </c>
      <c r="I1" s="6">
        <v>0.6</v>
      </c>
      <c r="K1" s="5" t="s">
        <v>14</v>
      </c>
      <c r="L1" s="6">
        <v>0.6</v>
      </c>
      <c r="M1" s="6">
        <v>0.6</v>
      </c>
      <c r="N1" s="6">
        <v>0.6</v>
      </c>
    </row>
    <row r="2" spans="1:14" x14ac:dyDescent="0.25">
      <c r="A2" s="5" t="s">
        <v>18</v>
      </c>
      <c r="B2" s="6">
        <v>3</v>
      </c>
      <c r="C2" s="6">
        <v>3</v>
      </c>
      <c r="D2" s="6">
        <v>1.5</v>
      </c>
      <c r="F2" s="5" t="s">
        <v>18</v>
      </c>
      <c r="G2" s="6">
        <v>3</v>
      </c>
      <c r="H2" s="6">
        <v>3</v>
      </c>
      <c r="I2" s="6">
        <v>1.5</v>
      </c>
      <c r="K2" s="5" t="s">
        <v>18</v>
      </c>
      <c r="L2" s="6">
        <v>3</v>
      </c>
      <c r="M2" s="6">
        <v>3</v>
      </c>
      <c r="N2" s="6">
        <v>1.5</v>
      </c>
    </row>
    <row r="3" spans="1:14" x14ac:dyDescent="0.25">
      <c r="A3" s="5" t="s">
        <v>19</v>
      </c>
      <c r="B3" s="6">
        <v>10</v>
      </c>
      <c r="C3" s="6">
        <v>5</v>
      </c>
      <c r="D3" s="6">
        <v>2</v>
      </c>
      <c r="F3" s="5" t="s">
        <v>19</v>
      </c>
      <c r="G3" s="6">
        <v>10</v>
      </c>
      <c r="H3" s="6">
        <v>5</v>
      </c>
      <c r="I3" s="6">
        <v>2</v>
      </c>
      <c r="K3" s="5" t="s">
        <v>19</v>
      </c>
      <c r="L3" s="6">
        <v>10</v>
      </c>
      <c r="M3" s="6">
        <v>5</v>
      </c>
      <c r="N3" s="6">
        <v>2</v>
      </c>
    </row>
    <row r="4" spans="1:14" x14ac:dyDescent="0.25">
      <c r="A4" s="18" t="s">
        <v>8</v>
      </c>
      <c r="B4" s="19"/>
      <c r="C4" s="18" t="s">
        <v>9</v>
      </c>
      <c r="D4" s="19"/>
      <c r="F4" s="18" t="s">
        <v>8</v>
      </c>
      <c r="G4" s="19"/>
      <c r="H4" s="18" t="s">
        <v>10</v>
      </c>
      <c r="I4" s="19"/>
      <c r="K4" s="18" t="s">
        <v>8</v>
      </c>
      <c r="L4" s="19"/>
      <c r="M4" s="18" t="s">
        <v>11</v>
      </c>
      <c r="N4" s="19"/>
    </row>
    <row r="5" spans="1:14" x14ac:dyDescent="0.25">
      <c r="A5" s="2" t="s">
        <v>4</v>
      </c>
      <c r="B5" s="2" t="s">
        <v>1</v>
      </c>
      <c r="C5" s="2" t="s">
        <v>2</v>
      </c>
      <c r="D5" s="2" t="s">
        <v>3</v>
      </c>
      <c r="F5" s="2" t="s">
        <v>4</v>
      </c>
      <c r="G5" s="2" t="s">
        <v>1</v>
      </c>
      <c r="H5" s="2" t="s">
        <v>2</v>
      </c>
      <c r="I5" s="2" t="s">
        <v>3</v>
      </c>
      <c r="K5" s="2" t="s">
        <v>4</v>
      </c>
      <c r="L5" s="2" t="s">
        <v>1</v>
      </c>
      <c r="M5" s="2" t="s">
        <v>2</v>
      </c>
      <c r="N5" s="2" t="s">
        <v>3</v>
      </c>
    </row>
    <row r="6" spans="1:14" x14ac:dyDescent="0.25">
      <c r="A6" s="1">
        <v>1</v>
      </c>
      <c r="B6" s="4">
        <v>1.38225887727392E-39</v>
      </c>
      <c r="C6" s="1">
        <v>2.15899969362696</v>
      </c>
      <c r="D6" s="1">
        <v>3.4108007600972701</v>
      </c>
      <c r="F6" s="1">
        <v>1</v>
      </c>
      <c r="G6" s="4">
        <v>5.5054432104449396E-18</v>
      </c>
      <c r="H6" s="1">
        <v>27.905892027417298</v>
      </c>
      <c r="I6" s="1">
        <v>17.6155440856834</v>
      </c>
      <c r="K6" s="1">
        <v>1</v>
      </c>
      <c r="L6" s="4">
        <v>0.28113554672935798</v>
      </c>
      <c r="M6" s="1">
        <v>132.037635400379</v>
      </c>
      <c r="N6" s="1">
        <v>53.986219603238098</v>
      </c>
    </row>
    <row r="7" spans="1:14" x14ac:dyDescent="0.25">
      <c r="A7" s="1">
        <v>2</v>
      </c>
      <c r="B7" s="4">
        <v>6.2261832543450699E-39</v>
      </c>
      <c r="C7" s="1">
        <v>3.01533144293975</v>
      </c>
      <c r="D7" s="1">
        <v>1.98617015566667</v>
      </c>
      <c r="F7" s="1">
        <v>2</v>
      </c>
      <c r="G7" s="4">
        <v>2.1561328184873399E-11</v>
      </c>
      <c r="H7" s="1">
        <v>28.661077120705801</v>
      </c>
      <c r="I7" s="1">
        <v>14.7662833386598</v>
      </c>
      <c r="K7" s="1">
        <v>2</v>
      </c>
      <c r="L7" s="4">
        <v>0.38027075589091203</v>
      </c>
      <c r="M7" s="1">
        <v>139.31049622366399</v>
      </c>
      <c r="N7" s="1">
        <v>61.119685987141601</v>
      </c>
    </row>
    <row r="8" spans="1:14" x14ac:dyDescent="0.25">
      <c r="A8" s="1">
        <v>3</v>
      </c>
      <c r="B8" s="4">
        <v>9.6275404830601203E-39</v>
      </c>
      <c r="C8" s="1">
        <v>2.2706162009003998</v>
      </c>
      <c r="D8" s="1">
        <v>1.9861701556706699</v>
      </c>
      <c r="F8" s="1">
        <v>3</v>
      </c>
      <c r="G8" s="4">
        <v>4.4257534891817E-13</v>
      </c>
      <c r="H8" s="1">
        <v>28.908499916032198</v>
      </c>
      <c r="I8" s="1">
        <v>16.1909130815732</v>
      </c>
      <c r="K8" s="1">
        <v>3</v>
      </c>
      <c r="L8" s="4">
        <v>0.31644421200097</v>
      </c>
      <c r="M8" s="1">
        <v>117.379071023897</v>
      </c>
      <c r="N8" s="1">
        <v>68.258217317431203</v>
      </c>
    </row>
    <row r="9" spans="1:14" x14ac:dyDescent="0.25">
      <c r="A9" s="1">
        <v>4</v>
      </c>
      <c r="B9" s="4">
        <v>1.4901480409762399E-39</v>
      </c>
      <c r="C9" s="1">
        <v>2.5487481330584298</v>
      </c>
      <c r="D9" s="1">
        <v>1.98617015566667</v>
      </c>
      <c r="F9" s="1">
        <v>4</v>
      </c>
      <c r="G9" s="4">
        <v>1.3039631032290001E-12</v>
      </c>
      <c r="H9" s="1">
        <v>28.374766383362601</v>
      </c>
      <c r="I9" s="1">
        <v>17.615543710141001</v>
      </c>
      <c r="K9" s="1">
        <v>4</v>
      </c>
      <c r="L9" s="4">
        <v>0.27277043461545403</v>
      </c>
      <c r="M9" s="1">
        <v>129.01675869240199</v>
      </c>
      <c r="N9" s="1">
        <v>59.685314576095799</v>
      </c>
    </row>
    <row r="10" spans="1:14" x14ac:dyDescent="0.25">
      <c r="A10" s="1">
        <v>5</v>
      </c>
      <c r="B10" s="4">
        <v>3.0739970661402402E-39</v>
      </c>
      <c r="C10" s="1">
        <v>2.7650775507321099</v>
      </c>
      <c r="D10" s="1">
        <v>1.98617015566667</v>
      </c>
      <c r="F10" s="1">
        <v>5</v>
      </c>
      <c r="G10" s="4">
        <v>1.8965809439333498E-9</v>
      </c>
      <c r="H10" s="1">
        <v>28.599159908900798</v>
      </c>
      <c r="I10" s="1">
        <v>13.3416519028204</v>
      </c>
      <c r="K10" s="1">
        <v>5</v>
      </c>
      <c r="L10" s="4">
        <v>0.175417422382211</v>
      </c>
      <c r="M10" s="1">
        <v>130.52791442292701</v>
      </c>
      <c r="N10" s="1">
        <v>62.545038582024603</v>
      </c>
    </row>
    <row r="11" spans="1:14" x14ac:dyDescent="0.25">
      <c r="A11" s="1">
        <v>6</v>
      </c>
      <c r="B11" s="4">
        <v>9.7956960692585506E-39</v>
      </c>
      <c r="C11" s="1">
        <v>2.1825696315343301</v>
      </c>
      <c r="D11" s="1">
        <v>1.98617015566667</v>
      </c>
      <c r="F11" s="1">
        <v>6</v>
      </c>
      <c r="G11" s="4">
        <v>5.6529682166399897E-30</v>
      </c>
      <c r="H11" s="1">
        <v>28.4549032924184</v>
      </c>
      <c r="I11" s="1">
        <v>17.615543841266099</v>
      </c>
      <c r="K11" s="1">
        <v>6</v>
      </c>
      <c r="L11" s="4">
        <v>0.209485428844916</v>
      </c>
      <c r="M11" s="1">
        <v>143.47952110072401</v>
      </c>
      <c r="N11" s="1">
        <v>63.961012830348103</v>
      </c>
    </row>
    <row r="12" spans="1:14" x14ac:dyDescent="0.25">
      <c r="A12" s="1">
        <v>7</v>
      </c>
      <c r="B12" s="4">
        <v>2.236466888863E-39</v>
      </c>
      <c r="C12" s="1">
        <v>2.6548384268552598</v>
      </c>
      <c r="D12" s="1">
        <v>1.98617015566667</v>
      </c>
      <c r="F12" s="1">
        <v>7</v>
      </c>
      <c r="G12" s="4">
        <v>3.0742023014683199E-9</v>
      </c>
      <c r="H12" s="1">
        <v>28.477249931778498</v>
      </c>
      <c r="I12" s="1">
        <v>13.3416519518744</v>
      </c>
      <c r="K12" s="1">
        <v>7</v>
      </c>
      <c r="L12" s="4">
        <v>0.28992989481970399</v>
      </c>
      <c r="M12" s="1">
        <v>149.923863624277</v>
      </c>
      <c r="N12" s="1">
        <v>62.538525376614302</v>
      </c>
    </row>
    <row r="13" spans="1:14" x14ac:dyDescent="0.25">
      <c r="A13" s="1">
        <v>8</v>
      </c>
      <c r="B13" s="4">
        <v>8.0399495150223095E-40</v>
      </c>
      <c r="C13" s="1">
        <v>2.3079530383471898</v>
      </c>
      <c r="D13" s="1">
        <v>4.8354313645278699</v>
      </c>
      <c r="F13" s="1">
        <v>8</v>
      </c>
      <c r="G13" s="4">
        <v>3.9855428331283803E-8</v>
      </c>
      <c r="H13" s="1">
        <v>28.422408674947999</v>
      </c>
      <c r="I13" s="1">
        <v>13.341651827004601</v>
      </c>
      <c r="K13" s="1">
        <v>8</v>
      </c>
      <c r="L13" s="4">
        <v>0.33467096906903099</v>
      </c>
      <c r="M13" s="1">
        <v>137.807647456377</v>
      </c>
      <c r="N13" s="1">
        <v>51.140886738455002</v>
      </c>
    </row>
    <row r="14" spans="1:14" x14ac:dyDescent="0.25">
      <c r="A14" s="1">
        <v>9</v>
      </c>
      <c r="B14" s="4">
        <v>1.27771905122811E-38</v>
      </c>
      <c r="C14" s="1">
        <v>2.7274409839515199</v>
      </c>
      <c r="D14" s="1">
        <v>1.98617015566667</v>
      </c>
      <c r="F14" s="1">
        <v>9</v>
      </c>
      <c r="G14" s="4">
        <v>1.0748570248794699E-24</v>
      </c>
      <c r="H14" s="1">
        <v>28.3713472768457</v>
      </c>
      <c r="I14" s="1">
        <v>14.766282681086601</v>
      </c>
      <c r="K14" s="1">
        <v>9</v>
      </c>
      <c r="L14" s="4">
        <v>0.31475205013686203</v>
      </c>
      <c r="M14" s="1">
        <v>134.49793346021499</v>
      </c>
      <c r="N14" s="1">
        <v>61.108525089215703</v>
      </c>
    </row>
    <row r="15" spans="1:14" x14ac:dyDescent="0.25">
      <c r="A15" s="1">
        <v>10</v>
      </c>
      <c r="B15" s="4">
        <v>4.7938229654895799E-39</v>
      </c>
      <c r="C15" s="1">
        <v>2.3243398217734499</v>
      </c>
      <c r="D15" s="1">
        <v>1.98617015566667</v>
      </c>
      <c r="F15" s="1">
        <v>10</v>
      </c>
      <c r="G15" s="4">
        <v>4.3385732775471799E-12</v>
      </c>
      <c r="H15" s="1">
        <v>27.564740533513099</v>
      </c>
      <c r="I15" s="1">
        <v>13.341652125649</v>
      </c>
      <c r="K15" s="1">
        <v>10</v>
      </c>
      <c r="L15" s="4">
        <v>0.19745090218108399</v>
      </c>
      <c r="M15" s="1">
        <v>150.79669073405299</v>
      </c>
      <c r="N15" s="1">
        <v>53.992491329522899</v>
      </c>
    </row>
    <row r="16" spans="1:14" x14ac:dyDescent="0.25">
      <c r="A16" s="1">
        <v>11</v>
      </c>
      <c r="B16" s="4">
        <v>2.2793589197419801E-39</v>
      </c>
      <c r="C16" s="1">
        <v>2.5119588449924999</v>
      </c>
      <c r="D16" s="1">
        <v>1.98617015566667</v>
      </c>
      <c r="F16" s="1">
        <v>11</v>
      </c>
      <c r="G16" s="4">
        <v>8.7233324328399998E-20</v>
      </c>
      <c r="H16" s="1">
        <v>29.149127962658898</v>
      </c>
      <c r="I16" s="1">
        <v>14.766282703565601</v>
      </c>
      <c r="K16" s="1">
        <v>11</v>
      </c>
      <c r="L16" s="4">
        <v>0.22892066283335999</v>
      </c>
      <c r="M16" s="1">
        <v>144.24130735751399</v>
      </c>
      <c r="N16" s="1">
        <v>53.987268528597099</v>
      </c>
    </row>
    <row r="17" spans="1:14" x14ac:dyDescent="0.25">
      <c r="A17" s="1">
        <v>12</v>
      </c>
      <c r="B17" s="4">
        <v>3.37767688696228E-39</v>
      </c>
      <c r="C17" s="1">
        <v>2.8491713882624299</v>
      </c>
      <c r="D17" s="1">
        <v>1.98617015566667</v>
      </c>
      <c r="F17" s="1">
        <v>12</v>
      </c>
      <c r="G17" s="4">
        <v>2.16641869938812E-10</v>
      </c>
      <c r="H17" s="1">
        <v>28.250800105814601</v>
      </c>
      <c r="I17" s="1">
        <v>20.464805019790901</v>
      </c>
      <c r="K17" s="1">
        <v>12</v>
      </c>
      <c r="L17" s="4">
        <v>0.26555338998042299</v>
      </c>
      <c r="M17" s="1">
        <v>116.90917857264</v>
      </c>
      <c r="N17" s="1">
        <v>52.564941042706003</v>
      </c>
    </row>
    <row r="18" spans="1:14" x14ac:dyDescent="0.25">
      <c r="A18" s="1">
        <v>13</v>
      </c>
      <c r="B18" s="4">
        <v>6.0335439548697398E-39</v>
      </c>
      <c r="C18" s="1">
        <v>2.9988972591853398</v>
      </c>
      <c r="D18" s="1">
        <v>1.98617015566667</v>
      </c>
      <c r="F18" s="1">
        <v>13</v>
      </c>
      <c r="G18" s="4">
        <v>1.0273813151456E-4</v>
      </c>
      <c r="H18" s="1">
        <v>28.595873909103901</v>
      </c>
      <c r="I18" s="1">
        <v>19.040175280369901</v>
      </c>
      <c r="K18" s="1">
        <v>13</v>
      </c>
      <c r="L18" s="4">
        <v>0.35892234050038802</v>
      </c>
      <c r="M18" s="1">
        <v>136.75117566515499</v>
      </c>
      <c r="N18" s="1">
        <v>59.687457265344499</v>
      </c>
    </row>
    <row r="19" spans="1:14" x14ac:dyDescent="0.25">
      <c r="A19" s="1">
        <v>14</v>
      </c>
      <c r="B19" s="4">
        <v>4.6231058997703198E-39</v>
      </c>
      <c r="C19" s="1">
        <v>2.36559585349457</v>
      </c>
      <c r="D19" s="1">
        <v>1.98617015566667</v>
      </c>
      <c r="F19" s="1">
        <v>14</v>
      </c>
      <c r="G19" s="4">
        <v>2.0909681527404199E-11</v>
      </c>
      <c r="H19" s="1">
        <v>28.052896512175</v>
      </c>
      <c r="I19" s="1">
        <v>13.341652080364</v>
      </c>
      <c r="K19" s="1">
        <v>14</v>
      </c>
      <c r="L19" s="4">
        <v>0.222995881959034</v>
      </c>
      <c r="M19" s="1">
        <v>122.965955275205</v>
      </c>
      <c r="N19" s="1">
        <v>53.982353036987803</v>
      </c>
    </row>
    <row r="20" spans="1:14" x14ac:dyDescent="0.25">
      <c r="A20" s="1">
        <v>15</v>
      </c>
      <c r="B20" s="4">
        <v>1.7680310972270801E-39</v>
      </c>
      <c r="C20" s="1">
        <v>2.7199412147600102</v>
      </c>
      <c r="D20" s="1">
        <v>1.98617015566667</v>
      </c>
      <c r="F20" s="1">
        <v>15</v>
      </c>
      <c r="G20" s="4">
        <v>2.9692875419621502E-8</v>
      </c>
      <c r="H20" s="1">
        <v>27.650060877881401</v>
      </c>
      <c r="I20" s="1">
        <v>19.040174696218902</v>
      </c>
      <c r="K20" s="1">
        <v>15</v>
      </c>
      <c r="L20" s="4">
        <v>0.303052771994127</v>
      </c>
      <c r="M20" s="1">
        <v>146.47543703720299</v>
      </c>
      <c r="N20" s="1">
        <v>53.980902460865501</v>
      </c>
    </row>
    <row r="21" spans="1:14" x14ac:dyDescent="0.25">
      <c r="A21" s="1">
        <v>16</v>
      </c>
      <c r="B21" s="4">
        <v>3.2328148323232899E-39</v>
      </c>
      <c r="C21" s="4">
        <v>2.9450480481930299</v>
      </c>
      <c r="D21" s="1">
        <v>4.8354313645278699</v>
      </c>
      <c r="F21" s="1">
        <v>16</v>
      </c>
      <c r="G21" s="4">
        <v>1.5881290408544401E-17</v>
      </c>
      <c r="H21" s="4">
        <v>28.853944832049301</v>
      </c>
      <c r="I21" s="1">
        <v>20.4648050624854</v>
      </c>
      <c r="K21" s="1">
        <v>16</v>
      </c>
      <c r="L21" s="4">
        <v>0.191179830810982</v>
      </c>
      <c r="M21" s="4">
        <v>130.475149609374</v>
      </c>
      <c r="N21" s="1">
        <v>65.390023591998698</v>
      </c>
    </row>
    <row r="22" spans="1:14" x14ac:dyDescent="0.25">
      <c r="A22" s="1">
        <v>17</v>
      </c>
      <c r="B22" s="4">
        <v>1.17925589600093E-38</v>
      </c>
      <c r="C22" s="1">
        <v>2.5890184026823699</v>
      </c>
      <c r="D22" s="1">
        <v>1.98617015566667</v>
      </c>
      <c r="F22" s="1">
        <v>17</v>
      </c>
      <c r="G22" s="4">
        <v>6.77702172754421E-18</v>
      </c>
      <c r="H22" s="1">
        <v>28.565683251946901</v>
      </c>
      <c r="I22" s="1">
        <v>19.040175669376499</v>
      </c>
      <c r="K22" s="1">
        <v>17</v>
      </c>
      <c r="L22" s="4">
        <v>0.28365954011414501</v>
      </c>
      <c r="M22" s="1">
        <v>121.812761982726</v>
      </c>
      <c r="N22" s="1">
        <v>52.583066033080797</v>
      </c>
    </row>
    <row r="23" spans="1:14" x14ac:dyDescent="0.25">
      <c r="A23" s="1">
        <v>18</v>
      </c>
      <c r="B23" s="4">
        <v>2.2797038141650199E-39</v>
      </c>
      <c r="C23" s="1">
        <v>2.7637341394719201</v>
      </c>
      <c r="D23" s="1">
        <v>1.98617015566667</v>
      </c>
      <c r="F23" s="1">
        <v>18</v>
      </c>
      <c r="G23" s="4">
        <v>1.97937480531867E-14</v>
      </c>
      <c r="H23" s="1">
        <v>28.395783041247899</v>
      </c>
      <c r="I23" s="1">
        <v>19.0401743690859</v>
      </c>
      <c r="K23" s="1">
        <v>18</v>
      </c>
      <c r="L23" s="4">
        <v>0.269318720398462</v>
      </c>
      <c r="M23" s="1">
        <v>132.62867285728899</v>
      </c>
      <c r="N23" s="1">
        <v>61.110684261623398</v>
      </c>
    </row>
    <row r="24" spans="1:14" x14ac:dyDescent="0.25">
      <c r="A24" s="1">
        <v>19</v>
      </c>
      <c r="B24" s="4">
        <v>2.5447437569320601E-39</v>
      </c>
      <c r="C24" s="1">
        <v>2.3935560487992902</v>
      </c>
      <c r="D24" s="1">
        <v>1.98617015566667</v>
      </c>
      <c r="F24" s="1">
        <v>19</v>
      </c>
      <c r="G24" s="4">
        <v>1.00179923158568E-7</v>
      </c>
      <c r="H24" s="1">
        <v>28.794952365000899</v>
      </c>
      <c r="I24" s="1">
        <v>11.9170213519611</v>
      </c>
      <c r="K24" s="1">
        <v>19</v>
      </c>
      <c r="L24" s="4">
        <v>0.19714374378643901</v>
      </c>
      <c r="M24" s="1">
        <v>126.85987736418301</v>
      </c>
      <c r="N24" s="1">
        <v>59.703374814370797</v>
      </c>
    </row>
    <row r="25" spans="1:14" x14ac:dyDescent="0.25">
      <c r="A25" s="1">
        <v>20</v>
      </c>
      <c r="B25" s="4">
        <v>2.0655584818330701E-39</v>
      </c>
      <c r="C25" s="1">
        <v>2.51994031861113</v>
      </c>
      <c r="D25" s="1">
        <v>1.98617015566667</v>
      </c>
      <c r="F25" s="1">
        <v>20</v>
      </c>
      <c r="G25" s="4">
        <v>2.06541078472903E-9</v>
      </c>
      <c r="H25" s="1">
        <v>28.159698953532899</v>
      </c>
      <c r="I25" s="1">
        <v>11.9170214904366</v>
      </c>
      <c r="K25" s="1">
        <v>20</v>
      </c>
      <c r="L25" s="4">
        <v>0.293687689509188</v>
      </c>
      <c r="M25" s="1">
        <v>119.453620405289</v>
      </c>
      <c r="N25" s="1">
        <v>49.7148009873031</v>
      </c>
    </row>
    <row r="26" spans="1:14" x14ac:dyDescent="0.25">
      <c r="A26" s="1">
        <v>21</v>
      </c>
      <c r="B26" s="4">
        <v>3.1086935106916298E-39</v>
      </c>
      <c r="C26" s="1">
        <v>2.6241823601710301</v>
      </c>
      <c r="D26" s="1">
        <v>1.98617015566667</v>
      </c>
      <c r="F26" s="1">
        <v>21</v>
      </c>
      <c r="G26" s="4">
        <v>1.08058793643949E-15</v>
      </c>
      <c r="H26" s="1">
        <v>28.5971421305963</v>
      </c>
      <c r="I26" s="1">
        <v>19.040174599814598</v>
      </c>
      <c r="K26" s="1">
        <v>21</v>
      </c>
      <c r="L26" s="4">
        <v>0.404426821807223</v>
      </c>
      <c r="M26" s="1">
        <v>142.63318054813399</v>
      </c>
      <c r="N26" s="1">
        <v>63.962560462251901</v>
      </c>
    </row>
    <row r="27" spans="1:14" x14ac:dyDescent="0.25">
      <c r="A27" s="1">
        <v>22</v>
      </c>
      <c r="B27" s="4">
        <v>5.9221683484813994E-39</v>
      </c>
      <c r="C27" s="1">
        <v>2.7053791628372901</v>
      </c>
      <c r="D27" s="1">
        <v>1.98617015566667</v>
      </c>
      <c r="F27" s="1">
        <v>22</v>
      </c>
      <c r="G27" s="4">
        <v>2.09061421915759E-11</v>
      </c>
      <c r="H27" s="1">
        <v>28.116011770628798</v>
      </c>
      <c r="I27" s="1">
        <v>16.190913248140401</v>
      </c>
      <c r="K27" s="1">
        <v>22</v>
      </c>
      <c r="L27" s="4">
        <v>0.202243974906853</v>
      </c>
      <c r="M27" s="1">
        <v>140.71557819134901</v>
      </c>
      <c r="N27" s="1">
        <v>68.237606407401202</v>
      </c>
    </row>
    <row r="28" spans="1:14" x14ac:dyDescent="0.25">
      <c r="A28" s="1">
        <v>23</v>
      </c>
      <c r="B28" s="4">
        <v>5.0933577343068798E-39</v>
      </c>
      <c r="C28" s="1">
        <v>2.7096236287973401</v>
      </c>
      <c r="D28" s="1">
        <v>3.4108007600972701</v>
      </c>
      <c r="F28" s="1">
        <v>23</v>
      </c>
      <c r="G28" s="4">
        <v>4.4777308916440698E-13</v>
      </c>
      <c r="H28" s="1">
        <v>28.3263380988571</v>
      </c>
      <c r="I28" s="1">
        <v>16.190913005264399</v>
      </c>
      <c r="K28" s="1">
        <v>23</v>
      </c>
      <c r="L28" s="4">
        <v>0.29440036431976502</v>
      </c>
      <c r="M28" s="1">
        <v>130.411048907896</v>
      </c>
      <c r="N28" s="1">
        <v>62.554188868163997</v>
      </c>
    </row>
    <row r="29" spans="1:14" x14ac:dyDescent="0.25">
      <c r="A29" s="1">
        <v>24</v>
      </c>
      <c r="B29" s="4">
        <v>5.1221668972814601E-39</v>
      </c>
      <c r="C29" s="1">
        <v>2.7883982503121398</v>
      </c>
      <c r="D29" s="1">
        <v>3.4108007600972701</v>
      </c>
      <c r="F29" s="1">
        <v>24</v>
      </c>
      <c r="G29" s="4">
        <v>7.2060337095285901E-20</v>
      </c>
      <c r="H29" s="1">
        <v>28.019950387058199</v>
      </c>
      <c r="I29" s="1">
        <v>14.766282507692299</v>
      </c>
      <c r="K29" s="1">
        <v>24</v>
      </c>
      <c r="L29" s="4">
        <v>0.15433375690318499</v>
      </c>
      <c r="M29" s="1">
        <v>117.024347558546</v>
      </c>
      <c r="N29" s="1">
        <v>53.995278362421502</v>
      </c>
    </row>
    <row r="30" spans="1:14" x14ac:dyDescent="0.25">
      <c r="A30" s="1">
        <v>25</v>
      </c>
      <c r="B30" s="4">
        <v>1.7421573217919201E-39</v>
      </c>
      <c r="C30" s="1">
        <v>2.1138588540520602</v>
      </c>
      <c r="D30" s="1">
        <v>1.98617015566667</v>
      </c>
      <c r="F30" s="1">
        <v>25</v>
      </c>
      <c r="G30" s="4">
        <v>1.4447546752929799E-8</v>
      </c>
      <c r="H30" s="1">
        <v>28.553927616163101</v>
      </c>
      <c r="I30" s="1">
        <v>16.190913059889699</v>
      </c>
      <c r="K30" s="1">
        <v>25</v>
      </c>
      <c r="L30" s="4">
        <v>0.33107504050806302</v>
      </c>
      <c r="M30" s="1">
        <v>133.73269919720099</v>
      </c>
      <c r="N30" s="1">
        <v>63.963158873468998</v>
      </c>
    </row>
    <row r="31" spans="1:14" x14ac:dyDescent="0.25">
      <c r="A31" s="1">
        <v>26</v>
      </c>
      <c r="B31" s="4">
        <v>5.9069863557670597E-39</v>
      </c>
      <c r="C31" s="1">
        <v>2.7320704651262999</v>
      </c>
      <c r="D31" s="1">
        <v>1.98617015566667</v>
      </c>
      <c r="F31" s="1">
        <v>26</v>
      </c>
      <c r="G31" s="4">
        <v>1.5045175775985101E-11</v>
      </c>
      <c r="H31" s="1">
        <v>28.495854983757901</v>
      </c>
      <c r="I31" s="1">
        <v>16.190913324873499</v>
      </c>
      <c r="K31" s="1">
        <v>26</v>
      </c>
      <c r="L31" s="4">
        <v>0.22687161485262899</v>
      </c>
      <c r="M31" s="1">
        <v>135.517106376751</v>
      </c>
      <c r="N31" s="1">
        <v>65.410590195133693</v>
      </c>
    </row>
    <row r="32" spans="1:14" x14ac:dyDescent="0.25">
      <c r="A32" s="1">
        <v>27</v>
      </c>
      <c r="B32" s="4">
        <v>1.28908721668574E-38</v>
      </c>
      <c r="C32" s="1">
        <v>2.9598317807182801</v>
      </c>
      <c r="D32" s="1">
        <v>1.98617015566667</v>
      </c>
      <c r="F32" s="1">
        <v>27</v>
      </c>
      <c r="G32" s="4">
        <v>7.1125376865795697E-19</v>
      </c>
      <c r="H32" s="1">
        <v>28.366118113198802</v>
      </c>
      <c r="I32" s="1">
        <v>16.190913482149401</v>
      </c>
      <c r="K32" s="1">
        <v>27</v>
      </c>
      <c r="L32" s="4">
        <v>0.26510863655674799</v>
      </c>
      <c r="M32" s="1">
        <v>140.70691873096399</v>
      </c>
      <c r="N32" s="1">
        <v>66.826454898484201</v>
      </c>
    </row>
    <row r="33" spans="1:14" x14ac:dyDescent="0.25">
      <c r="A33" s="1">
        <v>28</v>
      </c>
      <c r="B33" s="4">
        <v>3.58751990635264E-39</v>
      </c>
      <c r="C33" s="1">
        <v>2.4102990324478899</v>
      </c>
      <c r="D33" s="1">
        <v>1.98617015566667</v>
      </c>
      <c r="F33" s="1">
        <v>28</v>
      </c>
      <c r="G33" s="4">
        <v>5.1673804477515896E-10</v>
      </c>
      <c r="H33" s="1">
        <v>28.863374434502202</v>
      </c>
      <c r="I33" s="1">
        <v>13.341651966837601</v>
      </c>
      <c r="K33" s="1">
        <v>28</v>
      </c>
      <c r="L33" s="4">
        <v>0.23209677446892699</v>
      </c>
      <c r="M33" s="1">
        <v>133.536053923004</v>
      </c>
      <c r="N33" s="1">
        <v>58.274045704420203</v>
      </c>
    </row>
    <row r="34" spans="1:14" x14ac:dyDescent="0.25">
      <c r="A34" s="1">
        <v>29</v>
      </c>
      <c r="B34" s="4">
        <v>4.7599665351327502E-39</v>
      </c>
      <c r="C34" s="1">
        <v>2.2692739098255301</v>
      </c>
      <c r="D34" s="1">
        <v>1.98617015566667</v>
      </c>
      <c r="F34" s="1">
        <v>29</v>
      </c>
      <c r="G34" s="4">
        <v>6.1008781678467602E-7</v>
      </c>
      <c r="H34" s="1">
        <v>28.045496070545301</v>
      </c>
      <c r="I34" s="1">
        <v>16.190913908626101</v>
      </c>
      <c r="K34" s="1">
        <v>29</v>
      </c>
      <c r="L34" s="4">
        <v>0.40682807744309202</v>
      </c>
      <c r="M34" s="1">
        <v>111.404933171121</v>
      </c>
      <c r="N34" s="1">
        <v>48.2838387219482</v>
      </c>
    </row>
    <row r="35" spans="1:14" x14ac:dyDescent="0.25">
      <c r="A35" s="1">
        <v>30</v>
      </c>
      <c r="B35" s="4">
        <v>1.34204492069348E-38</v>
      </c>
      <c r="C35" s="1">
        <v>2.6346995922864598</v>
      </c>
      <c r="D35" s="1">
        <v>1.98617015566667</v>
      </c>
      <c r="F35" s="1">
        <v>30</v>
      </c>
      <c r="G35" s="4">
        <v>1.89528514477793E-14</v>
      </c>
      <c r="H35" s="1">
        <v>28.399840228710101</v>
      </c>
      <c r="I35" s="1">
        <v>17.615544127589601</v>
      </c>
      <c r="K35" s="1">
        <v>30</v>
      </c>
      <c r="L35" s="4">
        <v>0.25521878375311402</v>
      </c>
      <c r="M35" s="1">
        <v>140.018122607012</v>
      </c>
      <c r="N35" s="1">
        <v>66.8248089059243</v>
      </c>
    </row>
    <row r="36" spans="1:14" x14ac:dyDescent="0.25">
      <c r="A36" s="1">
        <v>31</v>
      </c>
      <c r="B36" s="4">
        <v>6.0748633707791694E-39</v>
      </c>
      <c r="C36" s="1">
        <v>2.6883621562173001</v>
      </c>
      <c r="D36" s="1">
        <v>1.98617015566667</v>
      </c>
      <c r="F36" s="1">
        <v>31</v>
      </c>
      <c r="G36" s="4">
        <v>2.9163854981585597E-26</v>
      </c>
      <c r="H36" s="1">
        <v>28.597078148286901</v>
      </c>
      <c r="I36" s="1">
        <v>17.615543703542301</v>
      </c>
      <c r="K36" s="1">
        <v>31</v>
      </c>
      <c r="L36" s="4">
        <v>0.28850188469855398</v>
      </c>
      <c r="M36" s="1">
        <v>123.14783115106199</v>
      </c>
      <c r="N36" s="1">
        <v>63.972764186042397</v>
      </c>
    </row>
    <row r="37" spans="1:14" x14ac:dyDescent="0.25">
      <c r="A37" s="1">
        <v>32</v>
      </c>
      <c r="B37" s="4">
        <v>2.73713461470622E-39</v>
      </c>
      <c r="C37" s="1">
        <v>2.7076504600967399</v>
      </c>
      <c r="D37" s="1">
        <v>1.98617015566667</v>
      </c>
      <c r="F37" s="1">
        <v>32</v>
      </c>
      <c r="G37" s="4">
        <v>5.5223533920853303E-19</v>
      </c>
      <c r="H37" s="1">
        <v>27.817851738766901</v>
      </c>
      <c r="I37" s="1">
        <v>17.615543878496901</v>
      </c>
      <c r="K37" s="1">
        <v>32</v>
      </c>
      <c r="L37" s="4">
        <v>0.27195850529249699</v>
      </c>
      <c r="M37" s="1">
        <v>154.505716179286</v>
      </c>
      <c r="N37" s="1">
        <v>59.684054881296497</v>
      </c>
    </row>
    <row r="38" spans="1:14" x14ac:dyDescent="0.25">
      <c r="A38" s="1">
        <v>33</v>
      </c>
      <c r="B38" s="4">
        <v>4.3372487050279603E-39</v>
      </c>
      <c r="C38" s="1">
        <v>2.5182375470975402</v>
      </c>
      <c r="D38" s="1">
        <v>1.98617015566667</v>
      </c>
      <c r="F38" s="1">
        <v>33</v>
      </c>
      <c r="G38" s="4">
        <v>9.0824862969415001E-22</v>
      </c>
      <c r="H38" s="1">
        <v>28.699394909275199</v>
      </c>
      <c r="I38" s="1">
        <v>17.615544050311101</v>
      </c>
      <c r="K38" s="1">
        <v>33</v>
      </c>
      <c r="L38" s="4">
        <v>0.22674782708492899</v>
      </c>
      <c r="M38" s="1">
        <v>120.460374876811</v>
      </c>
      <c r="N38" s="1">
        <v>73.937637050546797</v>
      </c>
    </row>
    <row r="39" spans="1:14" x14ac:dyDescent="0.25">
      <c r="A39" s="1">
        <v>34</v>
      </c>
      <c r="B39" s="4">
        <v>2.2298234950396699E-39</v>
      </c>
      <c r="C39" s="1">
        <v>2.50084833124397</v>
      </c>
      <c r="D39" s="1">
        <v>1.98617015566667</v>
      </c>
      <c r="F39" s="1">
        <v>34</v>
      </c>
      <c r="G39" s="4">
        <v>4.7406828486133799E-17</v>
      </c>
      <c r="H39" s="1">
        <v>28.249561648789101</v>
      </c>
      <c r="I39" s="1">
        <v>13.3416521477508</v>
      </c>
      <c r="K39" s="1">
        <v>34</v>
      </c>
      <c r="L39" s="4">
        <v>0.44761526973159799</v>
      </c>
      <c r="M39" s="1">
        <v>120.778648473085</v>
      </c>
      <c r="N39" s="1">
        <v>53.991707400194798</v>
      </c>
    </row>
    <row r="40" spans="1:14" x14ac:dyDescent="0.25">
      <c r="A40" s="1">
        <v>35</v>
      </c>
      <c r="B40" s="4">
        <v>1.1637954323218999E-38</v>
      </c>
      <c r="C40" s="1">
        <v>2.92311981276164</v>
      </c>
      <c r="D40" s="1">
        <v>1.98617015566667</v>
      </c>
      <c r="F40" s="1">
        <v>35</v>
      </c>
      <c r="G40" s="4">
        <v>5.4794947084224995E-10</v>
      </c>
      <c r="H40" s="1">
        <v>28.685299070110201</v>
      </c>
      <c r="I40" s="1">
        <v>19.040175632803098</v>
      </c>
      <c r="K40" s="1">
        <v>35</v>
      </c>
      <c r="L40" s="4">
        <v>0.41213191220158102</v>
      </c>
      <c r="M40" s="1">
        <v>121.46270900331599</v>
      </c>
      <c r="N40" s="1">
        <v>66.812378660755698</v>
      </c>
    </row>
    <row r="41" spans="1:14" x14ac:dyDescent="0.25">
      <c r="A41" s="1">
        <v>36</v>
      </c>
      <c r="B41" s="4">
        <v>8.9921076580536098E-39</v>
      </c>
      <c r="C41" s="1">
        <v>2.2121717228619202</v>
      </c>
      <c r="D41" s="1">
        <v>3.4108007600972701</v>
      </c>
      <c r="F41" s="1">
        <v>36</v>
      </c>
      <c r="G41" s="4">
        <v>9.4873409298213696E-13</v>
      </c>
      <c r="H41" s="1">
        <v>27.995794574037699</v>
      </c>
      <c r="I41" s="1">
        <v>16.190913212440702</v>
      </c>
      <c r="K41" s="1">
        <v>36</v>
      </c>
      <c r="L41" s="4">
        <v>0.18933388875063301</v>
      </c>
      <c r="M41" s="1">
        <v>143.55957474257701</v>
      </c>
      <c r="N41" s="1">
        <v>59.685672489811203</v>
      </c>
    </row>
    <row r="42" spans="1:14" x14ac:dyDescent="0.25">
      <c r="A42" s="1">
        <v>37</v>
      </c>
      <c r="B42" s="4">
        <v>6.2126607838589E-39</v>
      </c>
      <c r="C42" s="1">
        <v>1.7733582080519901</v>
      </c>
      <c r="D42" s="1">
        <v>3.4108007600972701</v>
      </c>
      <c r="F42" s="1">
        <v>37</v>
      </c>
      <c r="G42" s="4">
        <v>6.3574162909522995E-14</v>
      </c>
      <c r="H42" s="1">
        <v>28.622681992547701</v>
      </c>
      <c r="I42" s="1">
        <v>14.7662824848356</v>
      </c>
      <c r="K42" s="1">
        <v>37</v>
      </c>
      <c r="L42" s="4">
        <v>0.17975806272664199</v>
      </c>
      <c r="M42" s="1">
        <v>126.11621488543901</v>
      </c>
      <c r="N42" s="1">
        <v>56.837096089813997</v>
      </c>
    </row>
    <row r="43" spans="1:14" x14ac:dyDescent="0.25">
      <c r="A43" s="1">
        <v>38</v>
      </c>
      <c r="B43" s="4">
        <v>4.2837669457610401E-39</v>
      </c>
      <c r="C43" s="1">
        <v>2.84156253805333</v>
      </c>
      <c r="D43" s="1">
        <v>1.98617015566667</v>
      </c>
      <c r="F43" s="1">
        <v>38</v>
      </c>
      <c r="G43" s="4">
        <v>3.04847573230074E-12</v>
      </c>
      <c r="H43" s="1">
        <v>28.0322364249785</v>
      </c>
      <c r="I43" s="1">
        <v>14.766282991053</v>
      </c>
      <c r="K43" s="1">
        <v>38</v>
      </c>
      <c r="L43" s="4">
        <v>0.24788975212303699</v>
      </c>
      <c r="M43" s="1">
        <v>125.840180750588</v>
      </c>
      <c r="N43" s="1">
        <v>61.115104593217701</v>
      </c>
    </row>
    <row r="44" spans="1:14" x14ac:dyDescent="0.25">
      <c r="A44" s="1">
        <v>39</v>
      </c>
      <c r="B44" s="4">
        <v>5.5326358355184102E-39</v>
      </c>
      <c r="C44" s="1">
        <v>2.6333324616468201</v>
      </c>
      <c r="D44" s="1">
        <v>1.98617015566667</v>
      </c>
      <c r="F44" s="1">
        <v>39</v>
      </c>
      <c r="G44" s="4">
        <v>1.48011772624019E-9</v>
      </c>
      <c r="H44" s="1">
        <v>28.388448202111402</v>
      </c>
      <c r="I44" s="1">
        <v>20.464805638140799</v>
      </c>
      <c r="K44" s="1">
        <v>39</v>
      </c>
      <c r="L44" s="4">
        <v>0.28340148705109097</v>
      </c>
      <c r="M44" s="1">
        <v>133.96043826067199</v>
      </c>
      <c r="N44" s="1">
        <v>52.563500366472098</v>
      </c>
    </row>
    <row r="45" spans="1:14" x14ac:dyDescent="0.25">
      <c r="A45" s="1">
        <v>40</v>
      </c>
      <c r="B45" s="4">
        <v>1.1903167889415801E-38</v>
      </c>
      <c r="C45" s="1">
        <v>2.7467916591638799</v>
      </c>
      <c r="D45" s="1">
        <v>1.98617015566667</v>
      </c>
      <c r="F45" s="1">
        <v>40</v>
      </c>
      <c r="G45" s="4">
        <v>7.2046954385177997E-14</v>
      </c>
      <c r="H45" s="1">
        <v>28.832934583718799</v>
      </c>
      <c r="I45" s="1">
        <v>16.190913433260899</v>
      </c>
      <c r="K45" s="1">
        <v>40</v>
      </c>
      <c r="L45" s="4">
        <v>0.27625515337324802</v>
      </c>
      <c r="M45" s="1">
        <v>122.997019641432</v>
      </c>
      <c r="N45" s="1">
        <v>66.820226523003697</v>
      </c>
    </row>
    <row r="46" spans="1:14" x14ac:dyDescent="0.25">
      <c r="A46" s="1">
        <v>41</v>
      </c>
      <c r="B46" s="4">
        <v>6.7010578203005202E-39</v>
      </c>
      <c r="C46" s="1">
        <v>2.52512339170275</v>
      </c>
      <c r="D46" s="1">
        <v>1.98617015566667</v>
      </c>
      <c r="F46" s="1">
        <v>41</v>
      </c>
      <c r="G46" s="4">
        <v>3.7978246363651399E-26</v>
      </c>
      <c r="H46" s="1">
        <v>28.557827022223901</v>
      </c>
      <c r="I46" s="1">
        <v>14.7662829978057</v>
      </c>
      <c r="K46" s="1">
        <v>41</v>
      </c>
      <c r="L46" s="4">
        <v>0.27223176293286599</v>
      </c>
      <c r="M46" s="1">
        <v>129.43542795994401</v>
      </c>
      <c r="N46" s="1">
        <v>55.410898829617203</v>
      </c>
    </row>
    <row r="47" spans="1:14" x14ac:dyDescent="0.25">
      <c r="A47" s="1">
        <v>42</v>
      </c>
      <c r="B47" s="4">
        <v>9.70247912235545E-39</v>
      </c>
      <c r="C47" s="1">
        <v>2.0553883035827698</v>
      </c>
      <c r="D47" s="1">
        <v>1.98617015566667</v>
      </c>
      <c r="F47" s="1">
        <v>42</v>
      </c>
      <c r="G47" s="4">
        <v>6.3215304226711096E-12</v>
      </c>
      <c r="H47" s="1">
        <v>28.1915108486339</v>
      </c>
      <c r="I47" s="1">
        <v>16.190913266260601</v>
      </c>
      <c r="K47" s="1">
        <v>42</v>
      </c>
      <c r="L47" s="4">
        <v>0.29302072249195799</v>
      </c>
      <c r="M47" s="1">
        <v>143.042680675588</v>
      </c>
      <c r="N47" s="1">
        <v>61.111957485927</v>
      </c>
    </row>
    <row r="48" spans="1:14" x14ac:dyDescent="0.25">
      <c r="A48" s="1">
        <v>43</v>
      </c>
      <c r="B48" s="4">
        <v>2.86142092767343E-39</v>
      </c>
      <c r="C48" s="1">
        <v>2.3891940164069898</v>
      </c>
      <c r="D48" s="1">
        <v>1.98617015566667</v>
      </c>
      <c r="F48" s="1">
        <v>43</v>
      </c>
      <c r="G48" s="4">
        <v>1.8727611315901101E-13</v>
      </c>
      <c r="H48" s="1">
        <v>28.0498658089416</v>
      </c>
      <c r="I48" s="1">
        <v>16.190913476884301</v>
      </c>
      <c r="K48" s="1">
        <v>43</v>
      </c>
      <c r="L48" s="4">
        <v>0.30390541806640697</v>
      </c>
      <c r="M48" s="1">
        <v>125.020838835894</v>
      </c>
      <c r="N48" s="1">
        <v>55.409967400837097</v>
      </c>
    </row>
    <row r="49" spans="1:14" x14ac:dyDescent="0.25">
      <c r="A49" s="1">
        <v>44</v>
      </c>
      <c r="B49" s="4">
        <v>3.4504621969450001E-39</v>
      </c>
      <c r="C49" s="1">
        <v>2.6483143939280001</v>
      </c>
      <c r="D49" s="1">
        <v>3.4108007600972701</v>
      </c>
      <c r="F49" s="1">
        <v>44</v>
      </c>
      <c r="G49" s="4">
        <v>1.15139885762617E-14</v>
      </c>
      <c r="H49" s="1">
        <v>28.6115472253551</v>
      </c>
      <c r="I49" s="1">
        <v>14.766282341443199</v>
      </c>
      <c r="K49" s="1">
        <v>44</v>
      </c>
      <c r="L49" s="4">
        <v>0.352046863941258</v>
      </c>
      <c r="M49" s="1">
        <v>133.15830862278401</v>
      </c>
      <c r="N49" s="1">
        <v>53.991409475232999</v>
      </c>
    </row>
    <row r="50" spans="1:14" x14ac:dyDescent="0.25">
      <c r="A50" s="1">
        <v>45</v>
      </c>
      <c r="B50" s="4">
        <v>2.5118478944727101E-39</v>
      </c>
      <c r="C50" s="1">
        <v>2.7964524683744298</v>
      </c>
      <c r="D50" s="1">
        <v>3.3135645196399599</v>
      </c>
      <c r="F50" s="1">
        <v>45</v>
      </c>
      <c r="G50" s="4">
        <v>1.1586302390126201E-15</v>
      </c>
      <c r="H50" s="1">
        <v>28.149603186862802</v>
      </c>
      <c r="I50" s="1">
        <v>14.7662834968932</v>
      </c>
      <c r="K50" s="1">
        <v>45</v>
      </c>
      <c r="L50" s="4">
        <v>0.20614694746045101</v>
      </c>
      <c r="M50" s="1">
        <v>140.85900168811099</v>
      </c>
      <c r="N50" s="1">
        <v>55.411525222452298</v>
      </c>
    </row>
    <row r="51" spans="1:14" x14ac:dyDescent="0.25">
      <c r="A51" s="1">
        <v>46</v>
      </c>
      <c r="B51" s="4">
        <v>2.1799460588080599E-39</v>
      </c>
      <c r="C51" s="1">
        <v>1.86403415708537</v>
      </c>
      <c r="D51" s="1">
        <v>1.98617015566667</v>
      </c>
      <c r="F51" s="1">
        <v>46</v>
      </c>
      <c r="G51" s="4">
        <v>2.0963796206133801E-16</v>
      </c>
      <c r="H51" s="1">
        <v>28.610924105559</v>
      </c>
      <c r="I51" s="1">
        <v>13.341651714763699</v>
      </c>
      <c r="K51" s="1">
        <v>46</v>
      </c>
      <c r="L51" s="4">
        <v>0.30362752844547197</v>
      </c>
      <c r="M51" s="1">
        <v>125.26012710725399</v>
      </c>
      <c r="N51" s="1">
        <v>59.6986986011892</v>
      </c>
    </row>
    <row r="52" spans="1:14" x14ac:dyDescent="0.25">
      <c r="A52" s="1">
        <v>47</v>
      </c>
      <c r="B52" s="4">
        <v>6.9250086641502905E-39</v>
      </c>
      <c r="C52" s="1">
        <v>2.21762265217391</v>
      </c>
      <c r="D52" s="1">
        <v>1.98617015566667</v>
      </c>
      <c r="F52" s="1">
        <v>47</v>
      </c>
      <c r="G52" s="4">
        <v>5.8565940144094603E-14</v>
      </c>
      <c r="H52" s="1">
        <v>28.545129131067799</v>
      </c>
      <c r="I52" s="1">
        <v>20.4648064363586</v>
      </c>
      <c r="K52" s="1">
        <v>47</v>
      </c>
      <c r="L52" s="4">
        <v>0.32357256105374699</v>
      </c>
      <c r="M52" s="1">
        <v>130.02664512650401</v>
      </c>
      <c r="N52" s="1">
        <v>61.114242464953598</v>
      </c>
    </row>
    <row r="53" spans="1:14" x14ac:dyDescent="0.25">
      <c r="A53" s="1">
        <v>48</v>
      </c>
      <c r="B53" s="4">
        <v>3.6128192395361797E-39</v>
      </c>
      <c r="C53" s="1">
        <v>2.7861278300543502</v>
      </c>
      <c r="D53" s="1">
        <v>3.4108007600972701</v>
      </c>
      <c r="F53" s="1">
        <v>48</v>
      </c>
      <c r="G53" s="4">
        <v>1.3713313100365799E-6</v>
      </c>
      <c r="H53" s="1">
        <v>27.934381422216099</v>
      </c>
      <c r="I53" s="1">
        <v>14.766282587752</v>
      </c>
      <c r="K53" s="1">
        <v>48</v>
      </c>
      <c r="L53" s="4">
        <v>0.46624174144920599</v>
      </c>
      <c r="M53" s="1">
        <v>125.72055704672501</v>
      </c>
      <c r="N53" s="1">
        <v>58.262559103370499</v>
      </c>
    </row>
    <row r="54" spans="1:14" x14ac:dyDescent="0.25">
      <c r="A54" s="1">
        <v>49</v>
      </c>
      <c r="B54" s="4">
        <v>3.79600575211167E-39</v>
      </c>
      <c r="C54" s="1">
        <v>2.7640301551997699</v>
      </c>
      <c r="D54" s="1">
        <v>1.98617015566667</v>
      </c>
      <c r="F54" s="1">
        <v>49</v>
      </c>
      <c r="G54" s="4">
        <v>7.7957698769450605E-15</v>
      </c>
      <c r="H54" s="1">
        <v>28.547558343739802</v>
      </c>
      <c r="I54" s="1">
        <v>14.766282906151201</v>
      </c>
      <c r="K54" s="1">
        <v>49</v>
      </c>
      <c r="L54" s="4">
        <v>0.26480569116074598</v>
      </c>
      <c r="M54" s="1">
        <v>120.283774768406</v>
      </c>
      <c r="N54" s="1">
        <v>58.264595080886899</v>
      </c>
    </row>
    <row r="55" spans="1:14" x14ac:dyDescent="0.25">
      <c r="A55" s="1">
        <v>50</v>
      </c>
      <c r="B55" s="4">
        <v>1.35348186028967E-38</v>
      </c>
      <c r="C55" s="1">
        <v>2.66665990164155</v>
      </c>
      <c r="D55" s="1">
        <v>3.4108007600972701</v>
      </c>
      <c r="F55" s="1">
        <v>50</v>
      </c>
      <c r="G55" s="4">
        <v>2.2391976165432299E-13</v>
      </c>
      <c r="H55" s="1">
        <v>28.636221122239998</v>
      </c>
      <c r="I55" s="1">
        <v>16.190913373261498</v>
      </c>
      <c r="K55" s="1">
        <v>50</v>
      </c>
      <c r="L55" s="4">
        <v>0.391689540654725</v>
      </c>
      <c r="M55" s="1">
        <v>133.15487199467401</v>
      </c>
      <c r="N55" s="1">
        <v>52.566089117129799</v>
      </c>
    </row>
    <row r="56" spans="1:14" x14ac:dyDescent="0.25">
      <c r="A56" s="3" t="s">
        <v>5</v>
      </c>
      <c r="B56" s="4">
        <f>AVERAGE(B6:B55)</f>
        <v>5.4595192719450382E-39</v>
      </c>
      <c r="C56" s="4">
        <f>AVERAGE(C6:C55)</f>
        <v>2.5563755129218269</v>
      </c>
      <c r="D56" s="4">
        <f>AVERAGE(D6:D55)</f>
        <v>2.3546293880095601</v>
      </c>
      <c r="F56" s="3" t="s">
        <v>5</v>
      </c>
      <c r="G56" s="4">
        <f>AVERAGE(G6:G55)</f>
        <v>2.0982723999220689E-6</v>
      </c>
      <c r="H56" s="4">
        <f>AVERAGE(H6:H55)</f>
        <v>28.394975404416286</v>
      </c>
      <c r="I56" s="4">
        <f>AVERAGE(I6:I55)</f>
        <v>16.133928185410003</v>
      </c>
      <c r="K56" s="3" t="s">
        <v>5</v>
      </c>
      <c r="L56" s="4">
        <f>AVERAGE(L6:L55)</f>
        <v>0.28320497109534587</v>
      </c>
      <c r="M56" s="4">
        <f>AVERAGE(M6:M55)</f>
        <v>131.75683198535248</v>
      </c>
      <c r="N56" s="4">
        <f>AVERAGE(N6:N55)</f>
        <v>59.320708117506712</v>
      </c>
    </row>
    <row r="57" spans="1:14" x14ac:dyDescent="0.25">
      <c r="A57" s="3" t="s">
        <v>17</v>
      </c>
      <c r="B57" s="4">
        <f>MEDIAN(B6:B55)</f>
        <v>4.48017730239914E-39</v>
      </c>
      <c r="C57" s="4">
        <f>MEDIAN(C6:C55)</f>
        <v>2.6340160269666399</v>
      </c>
      <c r="D57" s="4">
        <f>MEDIAN(D6:D55)</f>
        <v>1.98617015566667</v>
      </c>
      <c r="F57" s="3" t="s">
        <v>17</v>
      </c>
      <c r="G57" s="4">
        <f>MEDIAN(G6:G55)</f>
        <v>3.3324755528624651E-13</v>
      </c>
      <c r="H57" s="4">
        <f>MEDIAN(H6:H55)</f>
        <v>28.438655983683198</v>
      </c>
      <c r="I57" s="4">
        <f>MEDIAN(I6:I55)</f>
        <v>16.190913230290551</v>
      </c>
      <c r="K57" s="3" t="s">
        <v>17</v>
      </c>
      <c r="L57" s="4">
        <f>MEDIAN(L6:L55)</f>
        <v>0.27869535005130297</v>
      </c>
      <c r="M57" s="4">
        <f>MEDIAN(M6:M55)</f>
        <v>131.28277491165301</v>
      </c>
      <c r="N57" s="4">
        <f>MEDIAN(N6:N55)</f>
        <v>59.686564877577851</v>
      </c>
    </row>
    <row r="58" spans="1:14" x14ac:dyDescent="0.25">
      <c r="A58" s="3" t="s">
        <v>36</v>
      </c>
      <c r="B58" s="1">
        <f>_xlfn.VAR.S(B6:B55)</f>
        <v>1.3157213397159476E-77</v>
      </c>
      <c r="C58" s="1">
        <f t="shared" ref="C58:D58" si="0">_xlfn.VAR.S(C6:C55)</f>
        <v>8.2526704942206291E-2</v>
      </c>
      <c r="D58" s="1">
        <f t="shared" si="0"/>
        <v>0.56014333158892249</v>
      </c>
      <c r="F58" s="3" t="s">
        <v>36</v>
      </c>
      <c r="G58" s="1">
        <f>_xlfn.VAR.S(G6:G55)</f>
        <v>2.1096432256298444E-10</v>
      </c>
      <c r="H58" s="1">
        <f t="shared" ref="H58:I58" si="1">_xlfn.VAR.S(H6:H55)</f>
        <v>0.11182011190829264</v>
      </c>
      <c r="I58" s="1">
        <f t="shared" si="1"/>
        <v>5.2984271977773609</v>
      </c>
      <c r="K58" s="3" t="s">
        <v>36</v>
      </c>
      <c r="L58" s="1">
        <f>_xlfn.VAR.S(L6:L55)</f>
        <v>5.2481506750097669E-3</v>
      </c>
      <c r="M58" s="1">
        <f t="shared" ref="M58:N58" si="2">_xlfn.VAR.S(M6:M55)</f>
        <v>98.603644573497917</v>
      </c>
      <c r="N58" s="1">
        <f t="shared" si="2"/>
        <v>31.749139901248029</v>
      </c>
    </row>
  </sheetData>
  <mergeCells count="6">
    <mergeCell ref="K4:L4"/>
    <mergeCell ref="M4:N4"/>
    <mergeCell ref="A4:B4"/>
    <mergeCell ref="C4:D4"/>
    <mergeCell ref="F4:G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C79A-A70C-471D-8AE8-10D8B18A2BEF}">
  <dimension ref="A1:N59"/>
  <sheetViews>
    <sheetView workbookViewId="0">
      <selection activeCell="K59" sqref="K59:N59"/>
    </sheetView>
  </sheetViews>
  <sheetFormatPr defaultRowHeight="15" x14ac:dyDescent="0.25"/>
  <cols>
    <col min="3" max="3" width="11.7109375" bestFit="1" customWidth="1"/>
    <col min="8" max="8" width="12" bestFit="1" customWidth="1"/>
    <col min="13" max="13" width="12" bestFit="1" customWidth="1"/>
  </cols>
  <sheetData>
    <row r="1" spans="1:14" x14ac:dyDescent="0.25">
      <c r="A1" s="5" t="s">
        <v>14</v>
      </c>
      <c r="B1" s="6">
        <v>0.3</v>
      </c>
      <c r="C1" s="6">
        <v>0.3</v>
      </c>
      <c r="D1" s="6">
        <v>0.3</v>
      </c>
      <c r="F1" s="5" t="s">
        <v>14</v>
      </c>
      <c r="G1" s="6">
        <v>0.3</v>
      </c>
      <c r="H1" s="6">
        <v>0.3</v>
      </c>
      <c r="I1" s="6">
        <v>0.3</v>
      </c>
      <c r="K1" s="5" t="s">
        <v>14</v>
      </c>
      <c r="L1" s="6">
        <v>0.3</v>
      </c>
      <c r="M1" s="6">
        <v>0.3</v>
      </c>
      <c r="N1" s="6">
        <v>0.3</v>
      </c>
    </row>
    <row r="2" spans="1:14" x14ac:dyDescent="0.25">
      <c r="A2" s="5" t="s">
        <v>15</v>
      </c>
      <c r="B2" s="6">
        <v>2</v>
      </c>
      <c r="C2" s="6">
        <v>2</v>
      </c>
      <c r="D2" s="6">
        <v>1.5</v>
      </c>
      <c r="F2" s="5" t="s">
        <v>15</v>
      </c>
      <c r="G2" s="6">
        <v>2</v>
      </c>
      <c r="H2" s="6">
        <v>2</v>
      </c>
      <c r="I2" s="6">
        <v>1.5</v>
      </c>
      <c r="K2" s="5" t="s">
        <v>15</v>
      </c>
      <c r="L2" s="6">
        <v>2</v>
      </c>
      <c r="M2" s="6">
        <v>2</v>
      </c>
      <c r="N2" s="6">
        <v>1.5</v>
      </c>
    </row>
    <row r="3" spans="1:14" ht="15.75" customHeight="1" x14ac:dyDescent="0.25">
      <c r="A3" s="5" t="s">
        <v>16</v>
      </c>
      <c r="B3" s="6">
        <v>2</v>
      </c>
      <c r="C3" s="6">
        <v>2</v>
      </c>
      <c r="D3" s="6">
        <v>2</v>
      </c>
      <c r="F3" s="5" t="s">
        <v>16</v>
      </c>
      <c r="G3" s="6">
        <v>2</v>
      </c>
      <c r="H3" s="6">
        <v>2</v>
      </c>
      <c r="I3" s="6">
        <v>2</v>
      </c>
      <c r="K3" s="5" t="s">
        <v>16</v>
      </c>
      <c r="L3" s="6">
        <v>2</v>
      </c>
      <c r="M3" s="6">
        <v>2</v>
      </c>
      <c r="N3" s="6">
        <v>2</v>
      </c>
    </row>
    <row r="4" spans="1:14" ht="15.75" customHeight="1" x14ac:dyDescent="0.25">
      <c r="A4" s="5" t="s">
        <v>13</v>
      </c>
      <c r="B4" s="6">
        <v>0.11</v>
      </c>
      <c r="C4" s="6">
        <v>0.2</v>
      </c>
      <c r="D4" s="6">
        <v>0.2</v>
      </c>
      <c r="F4" s="5" t="s">
        <v>13</v>
      </c>
      <c r="G4" s="6">
        <v>0.11</v>
      </c>
      <c r="H4" s="6">
        <v>0.2</v>
      </c>
      <c r="I4" s="6">
        <v>0.2</v>
      </c>
      <c r="K4" s="5" t="s">
        <v>13</v>
      </c>
      <c r="L4" s="6">
        <v>0.11</v>
      </c>
      <c r="M4" s="6">
        <v>0.2</v>
      </c>
      <c r="N4" s="6">
        <v>0.2</v>
      </c>
    </row>
    <row r="5" spans="1:14" x14ac:dyDescent="0.25">
      <c r="A5" s="18" t="s">
        <v>7</v>
      </c>
      <c r="B5" s="19"/>
      <c r="C5" s="18" t="s">
        <v>9</v>
      </c>
      <c r="D5" s="19"/>
      <c r="F5" s="18" t="s">
        <v>7</v>
      </c>
      <c r="G5" s="19"/>
      <c r="H5" s="18" t="s">
        <v>10</v>
      </c>
      <c r="I5" s="19"/>
      <c r="K5" s="18" t="s">
        <v>7</v>
      </c>
      <c r="L5" s="19"/>
      <c r="M5" s="18" t="s">
        <v>11</v>
      </c>
      <c r="N5" s="19"/>
    </row>
    <row r="6" spans="1:14" x14ac:dyDescent="0.25">
      <c r="A6" s="2" t="s">
        <v>4</v>
      </c>
      <c r="B6" s="2" t="s">
        <v>1</v>
      </c>
      <c r="C6" s="2" t="s">
        <v>2</v>
      </c>
      <c r="D6" s="2" t="s">
        <v>3</v>
      </c>
      <c r="F6" s="2" t="s">
        <v>4</v>
      </c>
      <c r="G6" s="2" t="s">
        <v>1</v>
      </c>
      <c r="H6" s="2" t="s">
        <v>2</v>
      </c>
      <c r="I6" s="2" t="s">
        <v>3</v>
      </c>
      <c r="K6" s="2" t="s">
        <v>4</v>
      </c>
      <c r="L6" s="2" t="s">
        <v>1</v>
      </c>
      <c r="M6" s="2" t="s">
        <v>2</v>
      </c>
      <c r="N6" s="2" t="s">
        <v>3</v>
      </c>
    </row>
    <row r="7" spans="1:14" x14ac:dyDescent="0.25">
      <c r="A7" s="1">
        <v>1</v>
      </c>
      <c r="B7" s="4">
        <v>6.4260167326213396E-62</v>
      </c>
      <c r="C7" s="1">
        <v>0.27863529594032599</v>
      </c>
      <c r="D7" s="1">
        <v>1.98617015566667</v>
      </c>
      <c r="F7" s="1">
        <v>1</v>
      </c>
      <c r="G7" s="4">
        <v>1.1653297849061299E-6</v>
      </c>
      <c r="H7" s="1">
        <v>24.834385107527101</v>
      </c>
      <c r="I7" s="1">
        <v>39.054439579495501</v>
      </c>
      <c r="K7" s="1">
        <v>1</v>
      </c>
      <c r="L7" s="4">
        <v>0.395531521682497</v>
      </c>
      <c r="M7" s="1">
        <v>419.975227574359</v>
      </c>
      <c r="N7" s="1">
        <v>214.623955641431</v>
      </c>
    </row>
    <row r="8" spans="1:14" x14ac:dyDescent="0.25">
      <c r="A8" s="1">
        <v>2</v>
      </c>
      <c r="B8" s="4">
        <v>1.9173743890176E-61</v>
      </c>
      <c r="C8" s="1">
        <v>3.9323657894045301</v>
      </c>
      <c r="D8" s="1">
        <v>4.8354313645278699</v>
      </c>
      <c r="F8" s="1">
        <v>2</v>
      </c>
      <c r="G8" s="4">
        <v>2.7504654131510699E-11</v>
      </c>
      <c r="H8" s="1">
        <v>81.966705926242895</v>
      </c>
      <c r="I8" s="1">
        <v>51.124171684945999</v>
      </c>
      <c r="K8" s="1">
        <v>2</v>
      </c>
      <c r="L8" s="4">
        <v>0.87201422279277097</v>
      </c>
      <c r="M8" s="1">
        <v>529.656239401682</v>
      </c>
      <c r="N8" s="1">
        <v>231.870270101599</v>
      </c>
    </row>
    <row r="9" spans="1:14" x14ac:dyDescent="0.25">
      <c r="A9" s="1">
        <v>3</v>
      </c>
      <c r="B9" s="4">
        <v>4.47232924425119E-63</v>
      </c>
      <c r="C9" s="1">
        <v>0.28420259831811301</v>
      </c>
      <c r="D9" s="1">
        <v>3.4108007600972701</v>
      </c>
      <c r="F9" s="1">
        <v>3</v>
      </c>
      <c r="G9" s="4">
        <v>1.3261304524847699E-11</v>
      </c>
      <c r="H9" s="1">
        <v>24.404175009902399</v>
      </c>
      <c r="I9" s="1">
        <v>32.589943968538698</v>
      </c>
      <c r="K9" s="1">
        <v>3</v>
      </c>
      <c r="L9" s="4">
        <v>3.56635683448786</v>
      </c>
      <c r="M9" s="1">
        <v>449.08097617695302</v>
      </c>
      <c r="N9" s="1">
        <v>225.11630774298001</v>
      </c>
    </row>
    <row r="10" spans="1:14" x14ac:dyDescent="0.25">
      <c r="A10" s="1">
        <v>4</v>
      </c>
      <c r="B10" s="4">
        <v>3.5936394333017898E-62</v>
      </c>
      <c r="C10" s="1">
        <v>0.17434934885379699</v>
      </c>
      <c r="D10" s="1">
        <v>1.98617015566667</v>
      </c>
      <c r="F10" s="1">
        <v>4</v>
      </c>
      <c r="G10" s="4">
        <v>1.9001944941100301E-11</v>
      </c>
      <c r="H10" s="1">
        <v>24.3209906857156</v>
      </c>
      <c r="I10" s="1">
        <v>41.1788161943471</v>
      </c>
      <c r="K10" s="1">
        <v>4</v>
      </c>
      <c r="L10" s="4">
        <v>0.184116961741397</v>
      </c>
      <c r="M10" s="1">
        <v>219.43598729240301</v>
      </c>
      <c r="N10" s="1">
        <v>162.63731200088199</v>
      </c>
    </row>
    <row r="11" spans="1:14" x14ac:dyDescent="0.25">
      <c r="A11" s="1">
        <v>5</v>
      </c>
      <c r="B11" s="4">
        <v>5.91212010318525E-63</v>
      </c>
      <c r="C11" s="1">
        <v>0.25953099140553898</v>
      </c>
      <c r="D11" s="1">
        <v>1.98617015566667</v>
      </c>
      <c r="F11" s="1">
        <v>5</v>
      </c>
      <c r="G11" s="4">
        <v>4.3206068050276998E-11</v>
      </c>
      <c r="H11" s="1">
        <v>25.360940902031601</v>
      </c>
      <c r="I11" s="1">
        <v>32.601687115317297</v>
      </c>
      <c r="K11" s="1">
        <v>5</v>
      </c>
      <c r="L11" s="4">
        <v>5.6496248888444098</v>
      </c>
      <c r="M11" s="1">
        <v>320.99165451944498</v>
      </c>
      <c r="N11" s="1">
        <v>209.91700410689899</v>
      </c>
    </row>
    <row r="12" spans="1:14" x14ac:dyDescent="0.25">
      <c r="A12" s="1">
        <v>6</v>
      </c>
      <c r="B12" s="4">
        <v>2.3102779247153599E-64</v>
      </c>
      <c r="C12" s="1">
        <v>0.35519606667183901</v>
      </c>
      <c r="D12" s="1">
        <v>1.98617015566667</v>
      </c>
      <c r="F12" s="1">
        <v>6</v>
      </c>
      <c r="G12" s="4">
        <v>1.1420229846012999E-10</v>
      </c>
      <c r="H12" s="1">
        <v>23.394485759856</v>
      </c>
      <c r="I12" s="1">
        <v>32.580322675766297</v>
      </c>
      <c r="K12" s="1">
        <v>6</v>
      </c>
      <c r="L12" s="4">
        <v>0.27173271549269301</v>
      </c>
      <c r="M12" s="1">
        <v>348.01806323492201</v>
      </c>
      <c r="N12" s="1">
        <v>302.080493972022</v>
      </c>
    </row>
    <row r="13" spans="1:14" x14ac:dyDescent="0.25">
      <c r="A13" s="1">
        <v>7</v>
      </c>
      <c r="B13" s="4">
        <v>7.1695858736436695E-63</v>
      </c>
      <c r="C13" s="1">
        <v>0.203303113374075</v>
      </c>
      <c r="D13" s="1">
        <v>1.98617015566667</v>
      </c>
      <c r="F13" s="1">
        <v>7</v>
      </c>
      <c r="G13" s="4">
        <v>2.3834867655278201E-11</v>
      </c>
      <c r="H13" s="1">
        <v>20.758974891346401</v>
      </c>
      <c r="I13" s="1">
        <v>34.443902690332699</v>
      </c>
      <c r="K13" s="1">
        <v>7</v>
      </c>
      <c r="L13" s="4">
        <v>0.16292475237128001</v>
      </c>
      <c r="M13" s="1">
        <v>201.71898828069999</v>
      </c>
      <c r="N13" s="1">
        <v>322.305461386616</v>
      </c>
    </row>
    <row r="14" spans="1:14" x14ac:dyDescent="0.25">
      <c r="A14" s="1">
        <v>8</v>
      </c>
      <c r="B14" s="4">
        <v>5.7690317867401099E-63</v>
      </c>
      <c r="C14" s="1">
        <v>0.26732893844413402</v>
      </c>
      <c r="D14" s="1">
        <v>1.98617015566667</v>
      </c>
      <c r="F14" s="1">
        <v>8</v>
      </c>
      <c r="G14" s="4">
        <v>1.8653979036518101E-10</v>
      </c>
      <c r="H14" s="1">
        <v>25.3692622985475</v>
      </c>
      <c r="I14" s="1">
        <v>35.524211774285298</v>
      </c>
      <c r="K14" s="1">
        <v>8</v>
      </c>
      <c r="L14" s="4">
        <v>4.4469391039371802</v>
      </c>
      <c r="M14" s="1">
        <v>454.25524285166199</v>
      </c>
      <c r="N14" s="1">
        <v>328.034236089476</v>
      </c>
    </row>
    <row r="15" spans="1:14" x14ac:dyDescent="0.25">
      <c r="A15" s="1">
        <v>9</v>
      </c>
      <c r="B15" s="4">
        <v>7.5177040334175997E-62</v>
      </c>
      <c r="C15" s="1">
        <v>1.53066958589452E-2</v>
      </c>
      <c r="D15" s="1">
        <v>4.8354313645278699</v>
      </c>
      <c r="F15" s="1">
        <v>9</v>
      </c>
      <c r="G15" s="4">
        <v>6.8641160109257601E-11</v>
      </c>
      <c r="H15" s="1">
        <v>24.7256157907286</v>
      </c>
      <c r="I15" s="1">
        <v>29.731521689564701</v>
      </c>
      <c r="K15" s="1">
        <v>9</v>
      </c>
      <c r="L15" s="4">
        <v>0.102218119401412</v>
      </c>
      <c r="M15" s="1">
        <v>181.947665415881</v>
      </c>
      <c r="N15" s="1">
        <v>230.97643326039599</v>
      </c>
    </row>
    <row r="16" spans="1:14" x14ac:dyDescent="0.25">
      <c r="A16" s="1">
        <v>10</v>
      </c>
      <c r="B16" s="4">
        <v>8.6717799951424295E-61</v>
      </c>
      <c r="C16" s="1">
        <v>0.28889277704128702</v>
      </c>
      <c r="D16" s="1">
        <v>3.4108007600972701</v>
      </c>
      <c r="F16" s="1">
        <v>10</v>
      </c>
      <c r="G16" s="4">
        <v>2.5602239829436599E-10</v>
      </c>
      <c r="H16" s="1">
        <v>25.570981521855799</v>
      </c>
      <c r="I16" s="1">
        <v>46.8413316428204</v>
      </c>
      <c r="K16" s="1">
        <v>10</v>
      </c>
      <c r="L16" s="4">
        <v>0.369166498445955</v>
      </c>
      <c r="M16" s="1">
        <v>350.30209333856402</v>
      </c>
      <c r="N16" s="1">
        <v>317.36713028458098</v>
      </c>
    </row>
    <row r="17" spans="1:14" x14ac:dyDescent="0.25">
      <c r="A17" s="1">
        <v>11</v>
      </c>
      <c r="B17" s="4">
        <v>3.2128053098075402E-62</v>
      </c>
      <c r="C17" s="1">
        <v>0.29671029676265698</v>
      </c>
      <c r="D17" s="1">
        <v>6.26006196895848</v>
      </c>
      <c r="F17" s="1">
        <v>11</v>
      </c>
      <c r="G17" s="4">
        <v>4.0423290033557199E-11</v>
      </c>
      <c r="H17" s="1">
        <v>82.089430574923</v>
      </c>
      <c r="I17" s="1">
        <v>56.187031214814802</v>
      </c>
      <c r="K17" s="1">
        <v>11</v>
      </c>
      <c r="L17" s="4">
        <v>0.119951654606504</v>
      </c>
      <c r="M17" s="1">
        <v>327.21702553330101</v>
      </c>
      <c r="N17" s="1">
        <v>267.18106493280402</v>
      </c>
    </row>
    <row r="18" spans="1:14" x14ac:dyDescent="0.25">
      <c r="A18" s="1">
        <v>12</v>
      </c>
      <c r="B18" s="4">
        <v>1.29776384617076E-62</v>
      </c>
      <c r="C18" s="1">
        <v>6.6500879690670506E-2</v>
      </c>
      <c r="D18" s="1">
        <v>3.4108007600972701</v>
      </c>
      <c r="F18" s="1">
        <v>12</v>
      </c>
      <c r="G18" s="4">
        <v>8.1075997862268108E-6</v>
      </c>
      <c r="H18" s="1">
        <v>29.2259477238286</v>
      </c>
      <c r="I18" s="1">
        <v>32.309082198241498</v>
      </c>
      <c r="K18" s="1">
        <v>12</v>
      </c>
      <c r="L18" s="4">
        <v>0.18997443324584301</v>
      </c>
      <c r="M18" s="1">
        <v>202.15678332961701</v>
      </c>
      <c r="N18" s="1">
        <v>189.614428598545</v>
      </c>
    </row>
    <row r="19" spans="1:14" x14ac:dyDescent="0.25">
      <c r="A19" s="1">
        <v>13</v>
      </c>
      <c r="B19" s="4">
        <v>1.73381162301912E-62</v>
      </c>
      <c r="C19" s="1">
        <v>0.27620849674641501</v>
      </c>
      <c r="D19" s="1">
        <v>3.4108007600972701</v>
      </c>
      <c r="F19" s="1">
        <v>13</v>
      </c>
      <c r="G19" s="4">
        <v>2.7435911978151598E-12</v>
      </c>
      <c r="H19" s="1">
        <v>23.307094976855399</v>
      </c>
      <c r="I19" s="1">
        <v>28.395372117702198</v>
      </c>
      <c r="K19" s="1">
        <v>13</v>
      </c>
      <c r="L19" s="4">
        <v>0.48446562115828401</v>
      </c>
      <c r="M19" s="1">
        <v>331.30339878092002</v>
      </c>
      <c r="N19" s="1">
        <v>288.96427128783398</v>
      </c>
    </row>
    <row r="20" spans="1:14" x14ac:dyDescent="0.25">
      <c r="A20" s="1">
        <v>14</v>
      </c>
      <c r="B20" s="4">
        <v>3.5297322602302202E-62</v>
      </c>
      <c r="C20" s="1">
        <v>4.0221887861091403</v>
      </c>
      <c r="D20" s="1">
        <v>4.8354313645278699</v>
      </c>
      <c r="F20" s="1">
        <v>14</v>
      </c>
      <c r="G20" s="4">
        <v>1.9436602375682298E-12</v>
      </c>
      <c r="H20" s="1">
        <v>25.959919968464199</v>
      </c>
      <c r="I20" s="1">
        <v>41.203038510838603</v>
      </c>
      <c r="K20" s="1">
        <v>14</v>
      </c>
      <c r="L20" s="4">
        <v>0.15975009642064</v>
      </c>
      <c r="M20" s="1">
        <v>540.20223935799299</v>
      </c>
      <c r="N20" s="1">
        <v>262.972506519972</v>
      </c>
    </row>
    <row r="21" spans="1:14" x14ac:dyDescent="0.25">
      <c r="A21" s="1">
        <v>15</v>
      </c>
      <c r="B21" s="4">
        <v>3.7693502700926098E-63</v>
      </c>
      <c r="C21" s="1">
        <v>0.24937437937790699</v>
      </c>
      <c r="D21" s="1">
        <v>1.98617015566667</v>
      </c>
      <c r="F21" s="1">
        <v>15</v>
      </c>
      <c r="G21" s="4">
        <v>4.3406963369568297E-11</v>
      </c>
      <c r="H21" s="1">
        <v>14.2684024352212</v>
      </c>
      <c r="I21" s="1">
        <v>46.132340929827997</v>
      </c>
      <c r="K21" s="1">
        <v>15</v>
      </c>
      <c r="L21" s="4">
        <v>0.59300187755635303</v>
      </c>
      <c r="M21" s="1">
        <v>421.18244356207998</v>
      </c>
      <c r="N21" s="1">
        <v>278.71104841844198</v>
      </c>
    </row>
    <row r="22" spans="1:14" x14ac:dyDescent="0.25">
      <c r="A22" s="1">
        <v>16</v>
      </c>
      <c r="B22" s="4">
        <v>2.0039296967256302E-64</v>
      </c>
      <c r="C22" s="4">
        <v>0.17697022556994799</v>
      </c>
      <c r="D22" s="1">
        <v>3.4108007600972701</v>
      </c>
      <c r="F22" s="1">
        <v>16</v>
      </c>
      <c r="G22" s="4">
        <v>1.6162782876482601E-12</v>
      </c>
      <c r="H22" s="4">
        <v>79.351176623501601</v>
      </c>
      <c r="I22" s="1">
        <v>48.347710433001502</v>
      </c>
      <c r="K22" s="1">
        <v>16</v>
      </c>
      <c r="L22" s="4">
        <v>0.52868317642351104</v>
      </c>
      <c r="M22" s="4">
        <v>326.38868586269598</v>
      </c>
      <c r="N22" s="1">
        <v>272.347917374048</v>
      </c>
    </row>
    <row r="23" spans="1:14" x14ac:dyDescent="0.25">
      <c r="A23" s="1">
        <v>17</v>
      </c>
      <c r="B23" s="4">
        <v>5.5889045129593097E-62</v>
      </c>
      <c r="C23" s="1">
        <v>0.17267815195109101</v>
      </c>
      <c r="D23" s="1">
        <v>3.4108007600972701</v>
      </c>
      <c r="F23" s="1">
        <v>17</v>
      </c>
      <c r="G23" s="4">
        <v>3.6665719774454698E-10</v>
      </c>
      <c r="H23" s="1">
        <v>25.885815151302399</v>
      </c>
      <c r="I23" s="1">
        <v>26.7467485829564</v>
      </c>
      <c r="K23" s="1">
        <v>17</v>
      </c>
      <c r="L23" s="4">
        <v>0.15771031207503</v>
      </c>
      <c r="M23" s="1">
        <v>380.65912181150298</v>
      </c>
      <c r="N23" s="1">
        <v>245.017025621242</v>
      </c>
    </row>
    <row r="24" spans="1:14" x14ac:dyDescent="0.25">
      <c r="A24" s="1">
        <v>18</v>
      </c>
      <c r="B24" s="4">
        <v>1.7778353765896701E-63</v>
      </c>
      <c r="C24" s="1">
        <v>4.2746053072792796</v>
      </c>
      <c r="D24" s="1">
        <v>3.4108007600972701</v>
      </c>
      <c r="F24" s="1">
        <v>18</v>
      </c>
      <c r="G24" s="4">
        <v>4.2602480991356199E-12</v>
      </c>
      <c r="H24" s="1">
        <v>25.441878002421699</v>
      </c>
      <c r="I24" s="1">
        <v>54.012547577140403</v>
      </c>
      <c r="K24" s="1">
        <v>18</v>
      </c>
      <c r="L24" s="4">
        <v>0.27007742993947798</v>
      </c>
      <c r="M24" s="1">
        <v>509.51624737882298</v>
      </c>
      <c r="N24" s="1">
        <v>232.34053961482999</v>
      </c>
    </row>
    <row r="25" spans="1:14" x14ac:dyDescent="0.25">
      <c r="A25" s="1">
        <v>19</v>
      </c>
      <c r="B25" s="4">
        <v>4.6192858561583002E-63</v>
      </c>
      <c r="C25" s="1">
        <v>4.1238590894115801E-2</v>
      </c>
      <c r="D25" s="1">
        <v>6.2600619689584898</v>
      </c>
      <c r="F25" s="1">
        <v>19</v>
      </c>
      <c r="G25" s="4">
        <v>1.51574067778528E-12</v>
      </c>
      <c r="H25" s="1">
        <v>25.719336838037499</v>
      </c>
      <c r="I25" s="1">
        <v>41.853092685826397</v>
      </c>
      <c r="K25" s="1">
        <v>19</v>
      </c>
      <c r="L25" s="4">
        <v>0.78682696300097399</v>
      </c>
      <c r="M25" s="1">
        <v>388.22614242715002</v>
      </c>
      <c r="N25" s="1">
        <v>261.99398598524101</v>
      </c>
    </row>
    <row r="26" spans="1:14" x14ac:dyDescent="0.25">
      <c r="A26" s="1">
        <v>20</v>
      </c>
      <c r="B26" s="4">
        <v>5.4620818284811598E-64</v>
      </c>
      <c r="C26" s="1">
        <v>9.0500248115619297E-2</v>
      </c>
      <c r="D26" s="1">
        <v>3.4108007600972701</v>
      </c>
      <c r="F26" s="1">
        <v>20</v>
      </c>
      <c r="G26" s="4">
        <v>1.02407474963682E-10</v>
      </c>
      <c r="H26" s="1">
        <v>75.654051079647402</v>
      </c>
      <c r="I26" s="1">
        <v>52.241379768190598</v>
      </c>
      <c r="K26" s="1">
        <v>20</v>
      </c>
      <c r="L26" s="4">
        <v>0.147354677338984</v>
      </c>
      <c r="M26" s="1">
        <v>539.942325977255</v>
      </c>
      <c r="N26" s="1">
        <v>277.07139077949103</v>
      </c>
    </row>
    <row r="27" spans="1:14" x14ac:dyDescent="0.25">
      <c r="A27" s="1">
        <v>21</v>
      </c>
      <c r="B27" s="4">
        <v>4.48843431799153E-62</v>
      </c>
      <c r="C27" s="1">
        <v>0.29260280463851901</v>
      </c>
      <c r="D27" s="1">
        <v>4.8354313645278699</v>
      </c>
      <c r="F27" s="1">
        <v>21</v>
      </c>
      <c r="G27" s="4">
        <v>1.5177521351073701E-12</v>
      </c>
      <c r="H27" s="1">
        <v>25.942387598098001</v>
      </c>
      <c r="I27" s="1">
        <v>27.780698519573999</v>
      </c>
      <c r="K27" s="1">
        <v>21</v>
      </c>
      <c r="L27" s="4">
        <v>0.836573177679518</v>
      </c>
      <c r="M27" s="1">
        <v>365.796140738335</v>
      </c>
      <c r="N27" s="1">
        <v>275.38070659296699</v>
      </c>
    </row>
    <row r="28" spans="1:14" x14ac:dyDescent="0.25">
      <c r="A28" s="1">
        <v>22</v>
      </c>
      <c r="B28" s="4">
        <v>1.01469368386838E-63</v>
      </c>
      <c r="C28" s="1">
        <v>0.207500545000114</v>
      </c>
      <c r="D28" s="1">
        <v>4.8354313645278699</v>
      </c>
      <c r="F28" s="1">
        <v>22</v>
      </c>
      <c r="G28" s="4">
        <v>1.04935175493606E-10</v>
      </c>
      <c r="H28" s="1">
        <v>24.975305801090901</v>
      </c>
      <c r="I28" s="1">
        <v>45.521913012978104</v>
      </c>
      <c r="K28" s="1">
        <v>22</v>
      </c>
      <c r="L28" s="4">
        <v>0.37725788908382002</v>
      </c>
      <c r="M28" s="1">
        <v>335.354198115217</v>
      </c>
      <c r="N28" s="1">
        <v>294.34124916697999</v>
      </c>
    </row>
    <row r="29" spans="1:14" x14ac:dyDescent="0.25">
      <c r="A29" s="1">
        <v>23</v>
      </c>
      <c r="B29" s="4">
        <v>3.0947718531872801E-62</v>
      </c>
      <c r="C29" s="1">
        <v>0.24745793231154301</v>
      </c>
      <c r="D29" s="1">
        <v>3.4108007600972701</v>
      </c>
      <c r="F29" s="1">
        <v>23</v>
      </c>
      <c r="G29" s="4">
        <v>7.9916669184060498E-11</v>
      </c>
      <c r="H29" s="1">
        <v>71.795636111076305</v>
      </c>
      <c r="I29" s="1">
        <v>57.528170444766999</v>
      </c>
      <c r="K29" s="1">
        <v>23</v>
      </c>
      <c r="L29" s="4">
        <v>0.19912235173086701</v>
      </c>
      <c r="M29" s="1">
        <v>528.00643867086103</v>
      </c>
      <c r="N29" s="1">
        <v>201.546146211776</v>
      </c>
    </row>
    <row r="30" spans="1:14" x14ac:dyDescent="0.25">
      <c r="A30" s="1">
        <v>24</v>
      </c>
      <c r="B30" s="4">
        <v>1.6034211827595799E-61</v>
      </c>
      <c r="C30" s="1">
        <v>0.26848227165004801</v>
      </c>
      <c r="D30" s="1">
        <v>1.98617015566667</v>
      </c>
      <c r="F30" s="1">
        <v>24</v>
      </c>
      <c r="G30" s="4">
        <v>6.3329279242828596E-12</v>
      </c>
      <c r="H30" s="1">
        <v>25.323131015134098</v>
      </c>
      <c r="I30" s="1">
        <v>64.500039192590904</v>
      </c>
      <c r="K30" s="1">
        <v>24</v>
      </c>
      <c r="L30" s="4">
        <v>9.1620989648462192</v>
      </c>
      <c r="M30" s="1">
        <v>351.94928487106199</v>
      </c>
      <c r="N30" s="1">
        <v>222.90498768828201</v>
      </c>
    </row>
    <row r="31" spans="1:14" x14ac:dyDescent="0.25">
      <c r="A31" s="1">
        <v>25</v>
      </c>
      <c r="B31" s="4">
        <v>2.1215538435989601E-61</v>
      </c>
      <c r="C31" s="1">
        <v>4.0528323980485004</v>
      </c>
      <c r="D31" s="1">
        <v>4.8354313645278699</v>
      </c>
      <c r="F31" s="1">
        <v>25</v>
      </c>
      <c r="G31" s="4">
        <v>1.7741654779779299E-11</v>
      </c>
      <c r="H31" s="1">
        <v>24.776353817039102</v>
      </c>
      <c r="I31" s="1">
        <v>43.513171886582199</v>
      </c>
      <c r="K31" s="1">
        <v>25</v>
      </c>
      <c r="L31" s="4">
        <v>1.4137437169726399</v>
      </c>
      <c r="M31" s="1">
        <v>454.87373239837302</v>
      </c>
      <c r="N31" s="1">
        <v>251.61487271091801</v>
      </c>
    </row>
    <row r="32" spans="1:14" x14ac:dyDescent="0.25">
      <c r="A32" s="1">
        <v>26</v>
      </c>
      <c r="B32" s="4">
        <v>1.9194562782671201E-61</v>
      </c>
      <c r="C32" s="1">
        <v>0.30392488875440798</v>
      </c>
      <c r="D32" s="1">
        <v>3.4108007600972701</v>
      </c>
      <c r="F32" s="1">
        <v>26</v>
      </c>
      <c r="G32" s="4">
        <v>5.9650407127431197E-11</v>
      </c>
      <c r="H32" s="1">
        <v>25.433408390888602</v>
      </c>
      <c r="I32" s="1">
        <v>34.808018930089901</v>
      </c>
      <c r="K32" s="1">
        <v>26</v>
      </c>
      <c r="L32" s="4">
        <v>0.14928915946587401</v>
      </c>
      <c r="M32" s="1">
        <v>270.52812775758201</v>
      </c>
      <c r="N32" s="1">
        <v>243.11859288014699</v>
      </c>
    </row>
    <row r="33" spans="1:14" x14ac:dyDescent="0.25">
      <c r="A33" s="1">
        <v>27</v>
      </c>
      <c r="B33" s="4">
        <v>6.0150149539935099E-60</v>
      </c>
      <c r="C33" s="1">
        <v>0.32876922119007701</v>
      </c>
      <c r="D33" s="1">
        <v>4.8354313645278699</v>
      </c>
      <c r="F33" s="1">
        <v>27</v>
      </c>
      <c r="G33" s="4">
        <v>2.1657540064137599E-11</v>
      </c>
      <c r="H33" s="1">
        <v>23.681162346204601</v>
      </c>
      <c r="I33" s="1">
        <v>37.135732677309903</v>
      </c>
      <c r="K33" s="1">
        <v>27</v>
      </c>
      <c r="L33" s="4">
        <v>0.13475428357681499</v>
      </c>
      <c r="M33" s="1">
        <v>447.40805648866802</v>
      </c>
      <c r="N33" s="1">
        <v>291.68874289458398</v>
      </c>
    </row>
    <row r="34" spans="1:14" x14ac:dyDescent="0.25">
      <c r="A34" s="1">
        <v>28</v>
      </c>
      <c r="B34" s="4">
        <v>2.6896467241107699E-61</v>
      </c>
      <c r="C34" s="1">
        <v>0.187577312760039</v>
      </c>
      <c r="D34" s="1">
        <v>6.26006196895848</v>
      </c>
      <c r="F34" s="1">
        <v>28</v>
      </c>
      <c r="G34" s="4">
        <v>4.10219539437728E-11</v>
      </c>
      <c r="H34" s="1">
        <v>22.530395479948002</v>
      </c>
      <c r="I34" s="1">
        <v>61.816728731672001</v>
      </c>
      <c r="K34" s="1">
        <v>28</v>
      </c>
      <c r="L34" s="4">
        <v>0.13046363311119899</v>
      </c>
      <c r="M34" s="1">
        <v>207.85567238200099</v>
      </c>
      <c r="N34" s="1">
        <v>294.45204254444002</v>
      </c>
    </row>
    <row r="35" spans="1:14" x14ac:dyDescent="0.25">
      <c r="A35" s="1">
        <v>29</v>
      </c>
      <c r="B35" s="4">
        <v>2.3715782147199899E-62</v>
      </c>
      <c r="C35" s="1">
        <v>0.115542154075006</v>
      </c>
      <c r="D35" s="1">
        <v>4.8354313645278699</v>
      </c>
      <c r="F35" s="1">
        <v>29</v>
      </c>
      <c r="G35" s="4">
        <v>1.0819453015694601E-11</v>
      </c>
      <c r="H35" s="1">
        <v>21.886498797209899</v>
      </c>
      <c r="I35" s="1">
        <v>32.774990369616397</v>
      </c>
      <c r="K35" s="1">
        <v>29</v>
      </c>
      <c r="L35" s="4">
        <v>0.19468201692099599</v>
      </c>
      <c r="M35" s="1">
        <v>332.98618295395698</v>
      </c>
      <c r="N35" s="1">
        <v>263.93320499950602</v>
      </c>
    </row>
    <row r="36" spans="1:14" x14ac:dyDescent="0.25">
      <c r="A36" s="1">
        <v>30</v>
      </c>
      <c r="B36" s="4">
        <v>3.39188609067826E-62</v>
      </c>
      <c r="C36" s="1">
        <v>6.3359678299812303E-2</v>
      </c>
      <c r="D36" s="1">
        <v>4.8354313645278797</v>
      </c>
      <c r="F36" s="1">
        <v>30</v>
      </c>
      <c r="G36" s="4">
        <v>3.4429112610920098E-11</v>
      </c>
      <c r="H36" s="1">
        <v>25.781113472858699</v>
      </c>
      <c r="I36" s="1">
        <v>44.272996923471801</v>
      </c>
      <c r="K36" s="1">
        <v>30</v>
      </c>
      <c r="L36" s="4">
        <v>0.16363142309906101</v>
      </c>
      <c r="M36" s="1">
        <v>362.96581904598298</v>
      </c>
      <c r="N36" s="1">
        <v>206.29182123226701</v>
      </c>
    </row>
    <row r="37" spans="1:14" x14ac:dyDescent="0.25">
      <c r="A37" s="1">
        <v>31</v>
      </c>
      <c r="B37" s="4">
        <v>6.7307511886782001E-62</v>
      </c>
      <c r="C37" s="1">
        <v>0.270230158050349</v>
      </c>
      <c r="D37" s="1">
        <v>4.8354313645278699</v>
      </c>
      <c r="F37" s="1">
        <v>31</v>
      </c>
      <c r="G37" s="4">
        <v>3.6817830952471601E-10</v>
      </c>
      <c r="H37" s="1">
        <v>28.659673812292699</v>
      </c>
      <c r="I37" s="1">
        <v>29.023946052077001</v>
      </c>
      <c r="K37" s="1">
        <v>31</v>
      </c>
      <c r="L37" s="4">
        <v>8.8918092890786601E-2</v>
      </c>
      <c r="M37" s="1">
        <v>195.468510832628</v>
      </c>
      <c r="N37" s="1">
        <v>315.18313648602998</v>
      </c>
    </row>
    <row r="38" spans="1:14" x14ac:dyDescent="0.25">
      <c r="A38" s="1">
        <v>32</v>
      </c>
      <c r="B38" s="4">
        <v>2.09561359095248E-62</v>
      </c>
      <c r="C38" s="1">
        <v>0.29496386800053498</v>
      </c>
      <c r="D38" s="1">
        <v>1.98617015566667</v>
      </c>
      <c r="F38" s="1">
        <v>32</v>
      </c>
      <c r="G38" s="4">
        <v>6.7744065700197394E-11</v>
      </c>
      <c r="H38" s="1">
        <v>25.4189072733706</v>
      </c>
      <c r="I38" s="1">
        <v>46.1858567708124</v>
      </c>
      <c r="K38" s="1">
        <v>32</v>
      </c>
      <c r="L38" s="4">
        <v>0.31145570368375303</v>
      </c>
      <c r="M38" s="1">
        <v>317.87482924913797</v>
      </c>
      <c r="N38" s="1">
        <v>269.01096698948101</v>
      </c>
    </row>
    <row r="39" spans="1:14" x14ac:dyDescent="0.25">
      <c r="A39" s="1">
        <v>33</v>
      </c>
      <c r="B39" s="4">
        <v>1.73156416282337E-63</v>
      </c>
      <c r="C39" s="1">
        <v>0.28250402168563199</v>
      </c>
      <c r="D39" s="1">
        <v>6.2600619689584898</v>
      </c>
      <c r="F39" s="1">
        <v>33</v>
      </c>
      <c r="G39" s="4">
        <v>5.5651849645367404E-12</v>
      </c>
      <c r="H39" s="1">
        <v>25.110537260626899</v>
      </c>
      <c r="I39" s="1">
        <v>30.7409706708256</v>
      </c>
      <c r="K39" s="1">
        <v>33</v>
      </c>
      <c r="L39" s="4">
        <v>0.21960751585059199</v>
      </c>
      <c r="M39" s="1">
        <v>338.54172917886802</v>
      </c>
      <c r="N39" s="1">
        <v>250.72311698420401</v>
      </c>
    </row>
    <row r="40" spans="1:14" x14ac:dyDescent="0.25">
      <c r="A40" s="1">
        <v>34</v>
      </c>
      <c r="B40" s="4">
        <v>3.2400424131384197E-61</v>
      </c>
      <c r="C40" s="1">
        <v>0.18289777247074199</v>
      </c>
      <c r="D40" s="1">
        <v>6.26006196895848</v>
      </c>
      <c r="F40" s="1">
        <v>34</v>
      </c>
      <c r="G40" s="4">
        <v>1.2798781061625201E-11</v>
      </c>
      <c r="H40" s="1">
        <v>25.931984186505101</v>
      </c>
      <c r="I40" s="1">
        <v>39.706681143050801</v>
      </c>
      <c r="K40" s="1">
        <v>34</v>
      </c>
      <c r="L40" s="4">
        <v>0.14948061097811799</v>
      </c>
      <c r="M40" s="1">
        <v>400.497697094937</v>
      </c>
      <c r="N40" s="1">
        <v>216.27199714384801</v>
      </c>
    </row>
    <row r="41" spans="1:14" x14ac:dyDescent="0.25">
      <c r="A41" s="1">
        <v>35</v>
      </c>
      <c r="B41" s="4">
        <v>3.2960902341101101E-62</v>
      </c>
      <c r="C41" s="1">
        <v>3.9535060872772299</v>
      </c>
      <c r="D41" s="1">
        <v>3.4108007600972701</v>
      </c>
      <c r="F41" s="1">
        <v>35</v>
      </c>
      <c r="G41" s="4">
        <v>1.00116511538393E-10</v>
      </c>
      <c r="H41" s="1">
        <v>28.247390692105402</v>
      </c>
      <c r="I41" s="1">
        <v>32.860276146915197</v>
      </c>
      <c r="K41" s="1">
        <v>35</v>
      </c>
      <c r="L41" s="4">
        <v>0.179417805629318</v>
      </c>
      <c r="M41" s="1">
        <v>439.56810255273598</v>
      </c>
      <c r="N41" s="1">
        <v>231.32994654583601</v>
      </c>
    </row>
    <row r="42" spans="1:14" x14ac:dyDescent="0.25">
      <c r="A42" s="1">
        <v>36</v>
      </c>
      <c r="B42" s="4">
        <v>3.70040445843718E-62</v>
      </c>
      <c r="C42" s="1">
        <v>8.2849012180692995E-3</v>
      </c>
      <c r="D42" s="1">
        <v>4.8354313645278699</v>
      </c>
      <c r="F42" s="1">
        <v>36</v>
      </c>
      <c r="G42" s="4">
        <v>2.1305567166458299E-12</v>
      </c>
      <c r="H42" s="1">
        <v>19.519396684861299</v>
      </c>
      <c r="I42" s="1">
        <v>46.342344034639197</v>
      </c>
      <c r="K42" s="1">
        <v>36</v>
      </c>
      <c r="L42" s="4">
        <v>6.6802039353212994E-2</v>
      </c>
      <c r="M42" s="1">
        <v>269.881142281515</v>
      </c>
      <c r="N42" s="1">
        <v>187.262442913375</v>
      </c>
    </row>
    <row r="43" spans="1:14" x14ac:dyDescent="0.25">
      <c r="A43" s="1">
        <v>37</v>
      </c>
      <c r="B43" s="4">
        <v>1.9513909414864399E-63</v>
      </c>
      <c r="C43" s="1">
        <v>0.230909634940064</v>
      </c>
      <c r="D43" s="1">
        <v>3.4108007600972701</v>
      </c>
      <c r="F43" s="1">
        <v>37</v>
      </c>
      <c r="G43" s="4">
        <v>1.67579004420742E-10</v>
      </c>
      <c r="H43" s="1">
        <v>25.742675002740899</v>
      </c>
      <c r="I43" s="1">
        <v>45.434425979028497</v>
      </c>
      <c r="K43" s="1">
        <v>37</v>
      </c>
      <c r="L43" s="4">
        <v>0.15740042737238999</v>
      </c>
      <c r="M43" s="1">
        <v>451.83328686457497</v>
      </c>
      <c r="N43" s="1">
        <v>262.58911843255999</v>
      </c>
    </row>
    <row r="44" spans="1:14" x14ac:dyDescent="0.25">
      <c r="A44" s="1">
        <v>38</v>
      </c>
      <c r="B44" s="4">
        <v>1.31042914926488E-62</v>
      </c>
      <c r="C44" s="1">
        <v>0.17854099133013299</v>
      </c>
      <c r="D44" s="1">
        <v>4.8354313645278699</v>
      </c>
      <c r="F44" s="1">
        <v>38</v>
      </c>
      <c r="G44" s="4">
        <v>4.0849592026666499E-7</v>
      </c>
      <c r="H44" s="1">
        <v>25.6901776531001</v>
      </c>
      <c r="I44" s="1">
        <v>51.110132688317002</v>
      </c>
      <c r="K44" s="1">
        <v>38</v>
      </c>
      <c r="L44" s="4">
        <v>0.210381771784901</v>
      </c>
      <c r="M44" s="1">
        <v>650.41305676924901</v>
      </c>
      <c r="N44" s="1">
        <v>278.494016215263</v>
      </c>
    </row>
    <row r="45" spans="1:14" x14ac:dyDescent="0.25">
      <c r="A45" s="1">
        <v>39</v>
      </c>
      <c r="B45" s="4">
        <v>1.1624285150904801E-62</v>
      </c>
      <c r="C45" s="1">
        <v>0.19677785156869901</v>
      </c>
      <c r="D45" s="1">
        <v>6.26006196895848</v>
      </c>
      <c r="F45" s="1">
        <v>39</v>
      </c>
      <c r="G45" s="4">
        <v>3.33479905160254E-10</v>
      </c>
      <c r="H45" s="1">
        <v>25.252161763400998</v>
      </c>
      <c r="I45" s="1">
        <v>35.437769282840001</v>
      </c>
      <c r="K45" s="1">
        <v>39</v>
      </c>
      <c r="L45" s="4">
        <v>0.17961061091337999</v>
      </c>
      <c r="M45" s="1">
        <v>262.28960394985501</v>
      </c>
      <c r="N45" s="1">
        <v>249.45967586064501</v>
      </c>
    </row>
    <row r="46" spans="1:14" x14ac:dyDescent="0.25">
      <c r="A46" s="1">
        <v>40</v>
      </c>
      <c r="B46" s="4">
        <v>3.4810871955209598E-62</v>
      </c>
      <c r="C46" s="1">
        <v>0.32298867973505602</v>
      </c>
      <c r="D46" s="1">
        <v>6.26006196895848</v>
      </c>
      <c r="F46" s="1">
        <v>40</v>
      </c>
      <c r="G46" s="4">
        <v>3.93379035523086E-10</v>
      </c>
      <c r="H46" s="1">
        <v>22.390052353351798</v>
      </c>
      <c r="I46" s="1">
        <v>24.9725875975817</v>
      </c>
      <c r="K46" s="1">
        <v>40</v>
      </c>
      <c r="L46" s="4">
        <v>0.49107364328229203</v>
      </c>
      <c r="M46" s="1">
        <v>322.35383746525099</v>
      </c>
      <c r="N46" s="1">
        <v>265.47979646579398</v>
      </c>
    </row>
    <row r="47" spans="1:14" x14ac:dyDescent="0.25">
      <c r="A47" s="1">
        <v>41</v>
      </c>
      <c r="B47" s="4">
        <v>1.42882010258175E-61</v>
      </c>
      <c r="C47" s="1">
        <v>3.2449266132105699E-2</v>
      </c>
      <c r="D47" s="1">
        <v>1.98617015566667</v>
      </c>
      <c r="F47" s="1">
        <v>41</v>
      </c>
      <c r="G47" s="4">
        <v>9.3824583381759396E-11</v>
      </c>
      <c r="H47" s="1">
        <v>26.1131641392214</v>
      </c>
      <c r="I47" s="1">
        <v>56.929543891597199</v>
      </c>
      <c r="K47" s="1">
        <v>41</v>
      </c>
      <c r="L47" s="4">
        <v>0.22039443858264801</v>
      </c>
      <c r="M47" s="1">
        <v>379.54042644782498</v>
      </c>
      <c r="N47" s="1">
        <v>281.191025642912</v>
      </c>
    </row>
    <row r="48" spans="1:14" x14ac:dyDescent="0.25">
      <c r="A48" s="1">
        <v>42</v>
      </c>
      <c r="B48" s="4">
        <v>1.2135756608032E-61</v>
      </c>
      <c r="C48" s="1">
        <v>3.9817349096479702</v>
      </c>
      <c r="D48" s="1">
        <v>1.98617015566667</v>
      </c>
      <c r="F48" s="1">
        <v>42</v>
      </c>
      <c r="G48" s="4">
        <v>1.60467247339048E-10</v>
      </c>
      <c r="H48" s="1">
        <v>29.366275601867699</v>
      </c>
      <c r="I48" s="1">
        <v>40.457615453987799</v>
      </c>
      <c r="K48" s="1">
        <v>42</v>
      </c>
      <c r="L48" s="4">
        <v>0.58132025659451803</v>
      </c>
      <c r="M48" s="1">
        <v>331.48927734132502</v>
      </c>
      <c r="N48" s="1">
        <v>263.65300910072398</v>
      </c>
    </row>
    <row r="49" spans="1:14" x14ac:dyDescent="0.25">
      <c r="A49" s="1">
        <v>43</v>
      </c>
      <c r="B49" s="4">
        <v>5.1280738230719005E-60</v>
      </c>
      <c r="C49" s="1">
        <v>0.103567386018153</v>
      </c>
      <c r="D49" s="1">
        <v>1.98617015566667</v>
      </c>
      <c r="F49" s="1">
        <v>43</v>
      </c>
      <c r="G49" s="4">
        <v>1.3331976303008501E-10</v>
      </c>
      <c r="H49" s="1">
        <v>25.550256772198701</v>
      </c>
      <c r="I49" s="1">
        <v>27.622741902109102</v>
      </c>
      <c r="K49" s="1">
        <v>43</v>
      </c>
      <c r="L49" s="4">
        <v>9.9338773966297894E-2</v>
      </c>
      <c r="M49" s="1">
        <v>380.416773962614</v>
      </c>
      <c r="N49" s="1">
        <v>246.974558083722</v>
      </c>
    </row>
    <row r="50" spans="1:14" x14ac:dyDescent="0.25">
      <c r="A50" s="1">
        <v>44</v>
      </c>
      <c r="B50" s="4">
        <v>3.9056626247053E-63</v>
      </c>
      <c r="C50" s="1">
        <v>0.27980416908991701</v>
      </c>
      <c r="D50" s="1">
        <v>3.4108007600972701</v>
      </c>
      <c r="F50" s="1">
        <v>44</v>
      </c>
      <c r="G50" s="4">
        <v>9.3533159529202497E-12</v>
      </c>
      <c r="H50" s="1">
        <v>25.597737180670698</v>
      </c>
      <c r="I50" s="1">
        <v>22.966193063963299</v>
      </c>
      <c r="K50" s="1">
        <v>44</v>
      </c>
      <c r="L50" s="4">
        <v>0.63775867941350495</v>
      </c>
      <c r="M50" s="1">
        <v>289.185146952031</v>
      </c>
      <c r="N50" s="1">
        <v>274.62291379564101</v>
      </c>
    </row>
    <row r="51" spans="1:14" x14ac:dyDescent="0.25">
      <c r="A51" s="1">
        <v>45</v>
      </c>
      <c r="B51" s="4">
        <v>5.4437407331942199E-64</v>
      </c>
      <c r="C51" s="1">
        <v>0.22746444607685801</v>
      </c>
      <c r="D51" s="1">
        <v>3.4108007600972701</v>
      </c>
      <c r="F51" s="1">
        <v>45</v>
      </c>
      <c r="G51" s="4">
        <v>4.9265467195296698E-11</v>
      </c>
      <c r="H51" s="1">
        <v>25.253170028078099</v>
      </c>
      <c r="I51" s="1">
        <v>41.954518648891799</v>
      </c>
      <c r="K51" s="1">
        <v>45</v>
      </c>
      <c r="L51" s="4">
        <v>0.76155301619513904</v>
      </c>
      <c r="M51" s="1">
        <v>390.48798459077</v>
      </c>
      <c r="N51" s="1">
        <v>257.96646024943698</v>
      </c>
    </row>
    <row r="52" spans="1:14" x14ac:dyDescent="0.25">
      <c r="A52" s="1">
        <v>46</v>
      </c>
      <c r="B52" s="4">
        <v>3.4382291869541302E-62</v>
      </c>
      <c r="C52" s="1">
        <v>2.7016362308496002E-2</v>
      </c>
      <c r="D52" s="1">
        <v>4.8354313645278699</v>
      </c>
      <c r="F52" s="1">
        <v>46</v>
      </c>
      <c r="G52" s="4">
        <v>2.7120437599524298E-10</v>
      </c>
      <c r="H52" s="1">
        <v>83.1250328279515</v>
      </c>
      <c r="I52" s="1">
        <v>34.035775762945001</v>
      </c>
      <c r="K52" s="1">
        <v>46</v>
      </c>
      <c r="L52" s="4">
        <v>0.26801724194082699</v>
      </c>
      <c r="M52" s="1">
        <v>367.21293144262</v>
      </c>
      <c r="N52" s="1">
        <v>287.47621011544601</v>
      </c>
    </row>
    <row r="53" spans="1:14" x14ac:dyDescent="0.25">
      <c r="A53" s="1">
        <v>47</v>
      </c>
      <c r="B53" s="4">
        <v>4.5310483371821201E-60</v>
      </c>
      <c r="C53" s="1">
        <v>4.1168312404103</v>
      </c>
      <c r="D53" s="1">
        <v>6.2600619689584898</v>
      </c>
      <c r="F53" s="1">
        <v>47</v>
      </c>
      <c r="G53" s="4">
        <v>2.14454755480736E-10</v>
      </c>
      <c r="H53" s="1">
        <v>20.906853827035299</v>
      </c>
      <c r="I53" s="1">
        <v>26.585299051392202</v>
      </c>
      <c r="K53" s="1">
        <v>47</v>
      </c>
      <c r="L53" s="4">
        <v>0.39409189505263198</v>
      </c>
      <c r="M53" s="1">
        <v>299.33612704585698</v>
      </c>
      <c r="N53" s="1">
        <v>302.99825014265502</v>
      </c>
    </row>
    <row r="54" spans="1:14" x14ac:dyDescent="0.25">
      <c r="A54" s="1">
        <v>48</v>
      </c>
      <c r="B54" s="4">
        <v>7.11000021613304E-62</v>
      </c>
      <c r="C54" s="1">
        <v>0.19604786549271599</v>
      </c>
      <c r="D54" s="1">
        <v>4.8354313645278699</v>
      </c>
      <c r="F54" s="1">
        <v>48</v>
      </c>
      <c r="G54" s="4">
        <v>1.9860006688497799E-11</v>
      </c>
      <c r="H54" s="1">
        <v>25.2239073770081</v>
      </c>
      <c r="I54" s="1">
        <v>37.8915681451235</v>
      </c>
      <c r="K54" s="1">
        <v>48</v>
      </c>
      <c r="L54" s="4">
        <v>0.25023249303404399</v>
      </c>
      <c r="M54" s="1">
        <v>482.55809734573302</v>
      </c>
      <c r="N54" s="1">
        <v>291.38594517883701</v>
      </c>
    </row>
    <row r="55" spans="1:14" x14ac:dyDescent="0.25">
      <c r="A55" s="1">
        <v>49</v>
      </c>
      <c r="B55" s="4">
        <v>1.62361502964912E-60</v>
      </c>
      <c r="C55" s="1">
        <v>3.9862830680028298</v>
      </c>
      <c r="D55" s="1">
        <v>3.4108007600972701</v>
      </c>
      <c r="F55" s="1">
        <v>49</v>
      </c>
      <c r="G55" s="4">
        <v>2.23420728702957E-11</v>
      </c>
      <c r="H55" s="1">
        <v>25.446816132816402</v>
      </c>
      <c r="I55" s="1">
        <v>33.419960145173</v>
      </c>
      <c r="K55" s="1">
        <v>49</v>
      </c>
      <c r="L55" s="4">
        <v>0.20345078205491601</v>
      </c>
      <c r="M55" s="1">
        <v>675.05766520976101</v>
      </c>
      <c r="N55" s="1">
        <v>228.114191789362</v>
      </c>
    </row>
    <row r="56" spans="1:14" x14ac:dyDescent="0.25">
      <c r="A56" s="1">
        <v>50</v>
      </c>
      <c r="B56" s="4">
        <v>1.7181828161598801E-61</v>
      </c>
      <c r="C56" s="1">
        <v>0.35204039148464999</v>
      </c>
      <c r="D56" s="1">
        <v>1.98617015566667</v>
      </c>
      <c r="F56" s="1">
        <v>50</v>
      </c>
      <c r="G56" s="4">
        <v>1.5721221811399899E-11</v>
      </c>
      <c r="H56" s="1">
        <v>81.264810815767902</v>
      </c>
      <c r="I56" s="1">
        <v>31.237268145655101</v>
      </c>
      <c r="K56" s="1">
        <v>50</v>
      </c>
      <c r="L56" s="4">
        <v>13.771541508512099</v>
      </c>
      <c r="M56" s="1">
        <v>336.02844653263901</v>
      </c>
      <c r="N56" s="1">
        <v>298.64785802059299</v>
      </c>
    </row>
    <row r="57" spans="1:14" x14ac:dyDescent="0.25">
      <c r="A57" s="3" t="s">
        <v>5</v>
      </c>
      <c r="B57" s="1">
        <f>AVERAGE(B7:B56)</f>
        <v>4.1558946314057888E-61</v>
      </c>
      <c r="C57" s="1">
        <f t="shared" ref="C57:D57" si="0">AVERAGE(C7:C56)</f>
        <v>0.82037958510955977</v>
      </c>
      <c r="D57" s="1">
        <f t="shared" si="0"/>
        <v>3.8951751656036726</v>
      </c>
      <c r="F57" s="3" t="s">
        <v>5</v>
      </c>
      <c r="G57" s="1">
        <f>AVERAGE(G7:G56)</f>
        <v>1.9371122974282769E-7</v>
      </c>
      <c r="H57" s="1">
        <f t="shared" ref="H57:I57" si="1">AVERAGE(H7:H56)</f>
        <v>32.39091890964955</v>
      </c>
      <c r="I57" s="1">
        <f t="shared" si="1"/>
        <v>39.753332565990632</v>
      </c>
      <c r="K57" s="3" t="s">
        <v>5</v>
      </c>
      <c r="L57" s="1">
        <f>AVERAGE(L7:L56)</f>
        <v>1.0292377156907084</v>
      </c>
      <c r="M57" s="1">
        <f t="shared" ref="M57:N57" si="2">AVERAGE(M7:M56)</f>
        <v>373.59869757279745</v>
      </c>
      <c r="N57" s="1">
        <f t="shared" si="2"/>
        <v>258.5049957359513</v>
      </c>
    </row>
    <row r="58" spans="1:14" x14ac:dyDescent="0.25">
      <c r="A58" s="3" t="s">
        <v>17</v>
      </c>
      <c r="B58" s="4">
        <f>MEDIAN(B7:B56)</f>
        <v>3.4150576388161951E-62</v>
      </c>
      <c r="C58" s="4">
        <f t="shared" ref="C58:D58" si="3">MEDIAN(C7:C56)</f>
        <v>0.2634299649248365</v>
      </c>
      <c r="D58" s="4">
        <f t="shared" si="3"/>
        <v>3.4108007600972701</v>
      </c>
      <c r="F58" s="3" t="s">
        <v>17</v>
      </c>
      <c r="G58" s="4">
        <f>MEDIAN(G7:G56)</f>
        <v>4.3306515709922644E-11</v>
      </c>
      <c r="H58" s="4">
        <f t="shared" ref="H58:I58" si="4">MEDIAN(H7:H56)</f>
        <v>25.437643196655152</v>
      </c>
      <c r="I58" s="4">
        <f t="shared" si="4"/>
        <v>38.473003862309497</v>
      </c>
      <c r="K58" s="3" t="s">
        <v>17</v>
      </c>
      <c r="L58" s="4">
        <f>MEDIAN(L7:L56)</f>
        <v>0.235313465808346</v>
      </c>
      <c r="M58" s="4">
        <f t="shared" ref="M58:N58" si="5">MEDIAN(M7:M56)</f>
        <v>357.45755195852246</v>
      </c>
      <c r="N58" s="4">
        <f t="shared" si="5"/>
        <v>263.31275781034799</v>
      </c>
    </row>
    <row r="59" spans="1:14" x14ac:dyDescent="0.25">
      <c r="A59" s="3" t="s">
        <v>36</v>
      </c>
      <c r="B59" s="1">
        <f>_xlfn.VAR.S(B7:B56)</f>
        <v>1.5955849221685581E-120</v>
      </c>
      <c r="C59" s="1">
        <f t="shared" ref="C59:D59" si="6">_xlfn.VAR.S(C7:C56)</f>
        <v>2.0247659617031974</v>
      </c>
      <c r="D59" s="1">
        <f t="shared" si="6"/>
        <v>2.2043641010256243</v>
      </c>
      <c r="F59" s="3" t="s">
        <v>36</v>
      </c>
      <c r="G59" s="1">
        <f>_xlfn.VAR.S(G7:G56)</f>
        <v>1.3343231756462729E-12</v>
      </c>
      <c r="H59" s="1">
        <f t="shared" ref="H59:I59" si="7">_xlfn.VAR.S(H7:H56)</f>
        <v>373.62885117968585</v>
      </c>
      <c r="I59" s="1">
        <f t="shared" si="7"/>
        <v>103.49626239469306</v>
      </c>
      <c r="K59" s="3" t="s">
        <v>36</v>
      </c>
      <c r="L59" s="1">
        <f>_xlfn.VAR.S(L7:L56)</f>
        <v>5.9835742165561001</v>
      </c>
      <c r="M59" s="1">
        <f t="shared" ref="M59:N59" si="8">_xlfn.VAR.S(M7:M56)</f>
        <v>12063.019906927528</v>
      </c>
      <c r="N59" s="1">
        <f t="shared" si="8"/>
        <v>1394.5013772883756</v>
      </c>
    </row>
  </sheetData>
  <mergeCells count="6">
    <mergeCell ref="K5:L5"/>
    <mergeCell ref="M5:N5"/>
    <mergeCell ref="A5:B5"/>
    <mergeCell ref="C5:D5"/>
    <mergeCell ref="F5:G5"/>
    <mergeCell ref="H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2CF4-F4C3-43F9-8E65-48B9FC28F253}">
  <dimension ref="A1:N64"/>
  <sheetViews>
    <sheetView topLeftCell="A24" workbookViewId="0">
      <selection activeCell="K64" sqref="K64:N64"/>
    </sheetView>
  </sheetViews>
  <sheetFormatPr defaultRowHeight="15" x14ac:dyDescent="0.25"/>
  <cols>
    <col min="1" max="1" width="13.7109375" customWidth="1"/>
    <col min="3" max="3" width="11.7109375" bestFit="1" customWidth="1"/>
    <col min="6" max="6" width="14.42578125" customWidth="1"/>
    <col min="8" max="8" width="11.7109375" bestFit="1" customWidth="1"/>
    <col min="11" max="11" width="13.42578125" customWidth="1"/>
    <col min="13" max="13" width="12" bestFit="1" customWidth="1"/>
  </cols>
  <sheetData>
    <row r="1" spans="1:14" x14ac:dyDescent="0.25">
      <c r="A1" s="7" t="s">
        <v>14</v>
      </c>
      <c r="B1" s="6">
        <v>0.3</v>
      </c>
      <c r="C1" s="6">
        <v>0.3</v>
      </c>
      <c r="D1" s="6">
        <v>0.3</v>
      </c>
      <c r="F1" s="7" t="s">
        <v>14</v>
      </c>
      <c r="G1" s="6">
        <v>0.3</v>
      </c>
      <c r="H1" s="6">
        <v>0.3</v>
      </c>
      <c r="I1" s="6">
        <v>0.3</v>
      </c>
      <c r="K1" s="7" t="s">
        <v>14</v>
      </c>
      <c r="L1" s="6">
        <v>0.3</v>
      </c>
      <c r="M1" s="6">
        <v>0.3</v>
      </c>
      <c r="N1" s="6">
        <v>0.3</v>
      </c>
    </row>
    <row r="2" spans="1:14" ht="30" x14ac:dyDescent="0.25">
      <c r="A2" s="9" t="s">
        <v>26</v>
      </c>
      <c r="B2" s="6">
        <v>0.3</v>
      </c>
      <c r="C2" s="6">
        <v>0.5</v>
      </c>
      <c r="D2" s="6">
        <v>0.3</v>
      </c>
      <c r="F2" s="9" t="s">
        <v>26</v>
      </c>
      <c r="G2" s="6">
        <v>0.3</v>
      </c>
      <c r="H2" s="6">
        <v>0.5</v>
      </c>
      <c r="I2" s="6">
        <v>0.3</v>
      </c>
      <c r="K2" s="9" t="s">
        <v>26</v>
      </c>
      <c r="L2" s="6">
        <v>0.3</v>
      </c>
      <c r="M2" s="6">
        <v>0.5</v>
      </c>
      <c r="N2" s="6">
        <v>0.3</v>
      </c>
    </row>
    <row r="3" spans="1:14" ht="30" x14ac:dyDescent="0.25">
      <c r="A3" s="9" t="s">
        <v>20</v>
      </c>
      <c r="B3" s="6">
        <v>0.3</v>
      </c>
      <c r="C3" s="6">
        <v>0.5</v>
      </c>
      <c r="D3" s="6">
        <v>0.3</v>
      </c>
      <c r="F3" s="9" t="s">
        <v>20</v>
      </c>
      <c r="G3" s="6">
        <v>0.3</v>
      </c>
      <c r="H3" s="6">
        <v>0.5</v>
      </c>
      <c r="I3" s="6">
        <v>0.3</v>
      </c>
      <c r="K3" s="9" t="s">
        <v>20</v>
      </c>
      <c r="L3" s="6">
        <v>0.3</v>
      </c>
      <c r="M3" s="6">
        <v>0.5</v>
      </c>
      <c r="N3" s="6">
        <v>0.3</v>
      </c>
    </row>
    <row r="4" spans="1:14" ht="30" x14ac:dyDescent="0.25">
      <c r="A4" s="9" t="s">
        <v>21</v>
      </c>
      <c r="B4" s="6">
        <v>0.3</v>
      </c>
      <c r="C4" s="6">
        <v>0.8</v>
      </c>
      <c r="D4" s="6">
        <v>0.3</v>
      </c>
      <c r="F4" s="9" t="s">
        <v>21</v>
      </c>
      <c r="G4" s="6">
        <v>0.3</v>
      </c>
      <c r="H4" s="6">
        <v>0.8</v>
      </c>
      <c r="I4" s="6">
        <v>0.3</v>
      </c>
      <c r="K4" s="9" t="s">
        <v>21</v>
      </c>
      <c r="L4" s="6">
        <v>0.3</v>
      </c>
      <c r="M4" s="6">
        <v>0.8</v>
      </c>
      <c r="N4" s="6">
        <v>0.3</v>
      </c>
    </row>
    <row r="5" spans="1:14" ht="30" x14ac:dyDescent="0.25">
      <c r="A5" s="9" t="s">
        <v>22</v>
      </c>
      <c r="B5" s="6">
        <v>0.8</v>
      </c>
      <c r="C5" s="6">
        <v>0.8</v>
      </c>
      <c r="D5" s="6">
        <v>0.8</v>
      </c>
      <c r="F5" s="9" t="s">
        <v>22</v>
      </c>
      <c r="G5" s="6">
        <v>0.8</v>
      </c>
      <c r="H5" s="6">
        <v>0.8</v>
      </c>
      <c r="I5" s="6">
        <v>0.8</v>
      </c>
      <c r="K5" s="9" t="s">
        <v>22</v>
      </c>
      <c r="L5" s="6">
        <v>0.8</v>
      </c>
      <c r="M5" s="6">
        <v>0.8</v>
      </c>
      <c r="N5" s="6">
        <v>0.8</v>
      </c>
    </row>
    <row r="6" spans="1:14" ht="30" x14ac:dyDescent="0.25">
      <c r="A6" s="9" t="s">
        <v>23</v>
      </c>
      <c r="B6" s="6">
        <v>0.2</v>
      </c>
      <c r="C6" s="6">
        <v>0.2</v>
      </c>
      <c r="D6" s="6">
        <v>0.2</v>
      </c>
      <c r="F6" s="9" t="s">
        <v>23</v>
      </c>
      <c r="G6" s="6">
        <v>0.2</v>
      </c>
      <c r="H6" s="6">
        <v>0.2</v>
      </c>
      <c r="I6" s="6">
        <v>0.2</v>
      </c>
      <c r="K6" s="9" t="s">
        <v>23</v>
      </c>
      <c r="L6" s="6">
        <v>0.2</v>
      </c>
      <c r="M6" s="6">
        <v>0.2</v>
      </c>
      <c r="N6" s="6">
        <v>0.2</v>
      </c>
    </row>
    <row r="7" spans="1:14" ht="30" x14ac:dyDescent="0.25">
      <c r="A7" s="9" t="s">
        <v>24</v>
      </c>
      <c r="B7" s="6">
        <v>0.9</v>
      </c>
      <c r="C7" s="6">
        <v>0.9</v>
      </c>
      <c r="D7" s="6">
        <v>0.9</v>
      </c>
      <c r="F7" s="9" t="s">
        <v>24</v>
      </c>
      <c r="G7" s="6">
        <v>0.9</v>
      </c>
      <c r="H7" s="6">
        <v>0.9</v>
      </c>
      <c r="I7" s="6">
        <v>0.9</v>
      </c>
      <c r="K7" s="9" t="s">
        <v>24</v>
      </c>
      <c r="L7" s="6">
        <v>0.9</v>
      </c>
      <c r="M7" s="6">
        <v>0.9</v>
      </c>
      <c r="N7" s="6">
        <v>0.9</v>
      </c>
    </row>
    <row r="8" spans="1:14" ht="30" x14ac:dyDescent="0.25">
      <c r="A8" s="9" t="s">
        <v>12</v>
      </c>
      <c r="B8" s="6">
        <v>0.02</v>
      </c>
      <c r="C8" s="6">
        <v>0.02</v>
      </c>
      <c r="D8" s="6">
        <v>0.11</v>
      </c>
      <c r="F8" s="9" t="s">
        <v>12</v>
      </c>
      <c r="G8" s="6">
        <v>0.02</v>
      </c>
      <c r="H8" s="6">
        <v>0.02</v>
      </c>
      <c r="I8" s="6">
        <v>0.11</v>
      </c>
      <c r="K8" s="9" t="s">
        <v>12</v>
      </c>
      <c r="L8" s="6">
        <v>0.02</v>
      </c>
      <c r="M8" s="6">
        <v>0.02</v>
      </c>
      <c r="N8" s="6">
        <v>0.11</v>
      </c>
    </row>
    <row r="9" spans="1:14" x14ac:dyDescent="0.25">
      <c r="A9" s="9" t="s">
        <v>25</v>
      </c>
      <c r="B9" s="6">
        <v>5</v>
      </c>
      <c r="C9" s="6">
        <v>5</v>
      </c>
      <c r="D9" s="6">
        <v>2</v>
      </c>
      <c r="F9" s="9" t="s">
        <v>25</v>
      </c>
      <c r="G9" s="6">
        <v>5</v>
      </c>
      <c r="H9" s="6">
        <v>5</v>
      </c>
      <c r="I9" s="6">
        <v>2</v>
      </c>
      <c r="K9" s="9" t="s">
        <v>25</v>
      </c>
      <c r="L9" s="6">
        <v>5</v>
      </c>
      <c r="M9" s="6">
        <v>5</v>
      </c>
      <c r="N9" s="6">
        <v>2</v>
      </c>
    </row>
    <row r="10" spans="1:14" x14ac:dyDescent="0.25">
      <c r="A10" s="18" t="s">
        <v>27</v>
      </c>
      <c r="B10" s="19"/>
      <c r="C10" s="18" t="s">
        <v>9</v>
      </c>
      <c r="D10" s="19"/>
      <c r="F10" s="18" t="s">
        <v>27</v>
      </c>
      <c r="G10" s="19"/>
      <c r="H10" s="18" t="s">
        <v>10</v>
      </c>
      <c r="I10" s="19"/>
      <c r="K10" s="18" t="s">
        <v>27</v>
      </c>
      <c r="L10" s="19"/>
      <c r="M10" s="18" t="s">
        <v>11</v>
      </c>
      <c r="N10" s="19"/>
    </row>
    <row r="11" spans="1:14" x14ac:dyDescent="0.25">
      <c r="A11" s="2" t="s">
        <v>4</v>
      </c>
      <c r="B11" s="2" t="s">
        <v>1</v>
      </c>
      <c r="C11" s="2" t="s">
        <v>2</v>
      </c>
      <c r="D11" s="2" t="s">
        <v>3</v>
      </c>
      <c r="F11" s="2" t="s">
        <v>4</v>
      </c>
      <c r="G11" s="2" t="s">
        <v>1</v>
      </c>
      <c r="H11" s="2" t="s">
        <v>2</v>
      </c>
      <c r="I11" s="2" t="s">
        <v>3</v>
      </c>
      <c r="K11" s="2" t="s">
        <v>4</v>
      </c>
      <c r="L11" s="2" t="s">
        <v>1</v>
      </c>
      <c r="M11" s="2" t="s">
        <v>2</v>
      </c>
      <c r="N11" s="2" t="s">
        <v>3</v>
      </c>
    </row>
    <row r="12" spans="1:14" x14ac:dyDescent="0.25">
      <c r="A12" s="1">
        <v>1</v>
      </c>
      <c r="B12" s="4">
        <v>9.3055306952914902E-4</v>
      </c>
      <c r="C12" s="1">
        <v>0.76068784302345005</v>
      </c>
      <c r="D12" s="1">
        <v>3.4368336203980898</v>
      </c>
      <c r="F12" s="1">
        <v>1</v>
      </c>
      <c r="G12" s="4">
        <v>2.4575627702633201E-3</v>
      </c>
      <c r="H12" s="1">
        <v>28.158672331621201</v>
      </c>
      <c r="I12" s="1">
        <v>33.122060769996303</v>
      </c>
      <c r="K12" s="1">
        <v>1</v>
      </c>
      <c r="L12" s="4">
        <v>0.119148175216236</v>
      </c>
      <c r="M12" s="1">
        <v>180.263161208463</v>
      </c>
      <c r="N12" s="1">
        <v>249.06223721696401</v>
      </c>
    </row>
    <row r="13" spans="1:14" x14ac:dyDescent="0.25">
      <c r="A13" s="1">
        <v>2</v>
      </c>
      <c r="B13" s="4">
        <v>1.41127231781973E-3</v>
      </c>
      <c r="C13" s="1">
        <v>0.35140734112563199</v>
      </c>
      <c r="D13" s="1">
        <v>3.4415760515954998</v>
      </c>
      <c r="F13" s="1">
        <v>2</v>
      </c>
      <c r="G13" s="4">
        <v>2.8433894697114099E-3</v>
      </c>
      <c r="H13" s="1">
        <v>27.999981031301601</v>
      </c>
      <c r="I13" s="1">
        <v>27.198360883489499</v>
      </c>
      <c r="K13" s="1">
        <v>2</v>
      </c>
      <c r="L13" s="4">
        <v>0.11930700850116201</v>
      </c>
      <c r="M13" s="1">
        <v>423.66261037439199</v>
      </c>
      <c r="N13" s="1">
        <v>213.77521778247799</v>
      </c>
    </row>
    <row r="14" spans="1:14" x14ac:dyDescent="0.25">
      <c r="A14" s="1">
        <v>3</v>
      </c>
      <c r="B14" s="4">
        <v>5.5552091574742699E-4</v>
      </c>
      <c r="C14" s="1">
        <v>0.24286664245300299</v>
      </c>
      <c r="D14" s="1">
        <v>3.4540668498295002</v>
      </c>
      <c r="F14" s="1">
        <v>3</v>
      </c>
      <c r="G14" s="4">
        <v>1.6109130075073099E-3</v>
      </c>
      <c r="H14" s="1">
        <v>27.905542408598901</v>
      </c>
      <c r="I14" s="1">
        <v>36.604903668934597</v>
      </c>
      <c r="K14" s="1">
        <v>3</v>
      </c>
      <c r="L14" s="4">
        <v>0.14161340486410701</v>
      </c>
      <c r="M14" s="1">
        <v>290.09013229009099</v>
      </c>
      <c r="N14" s="1">
        <v>242.84223119564399</v>
      </c>
    </row>
    <row r="15" spans="1:14" x14ac:dyDescent="0.25">
      <c r="A15" s="1">
        <v>4</v>
      </c>
      <c r="B15" s="4">
        <v>1.3730161304870501E-3</v>
      </c>
      <c r="C15" s="1">
        <v>0.94362959259616097</v>
      </c>
      <c r="D15" s="1">
        <v>4.8605059720278998</v>
      </c>
      <c r="F15" s="1">
        <v>4</v>
      </c>
      <c r="G15" s="4">
        <v>2.8040065909361199E-3</v>
      </c>
      <c r="H15" s="1">
        <v>28.011567771777401</v>
      </c>
      <c r="I15" s="1">
        <v>39.3928932264932</v>
      </c>
      <c r="K15" s="1">
        <v>4</v>
      </c>
      <c r="L15" s="4">
        <v>0.115198019807987</v>
      </c>
      <c r="M15" s="1">
        <v>184.52919439300899</v>
      </c>
      <c r="N15" s="1">
        <v>231.308320649656</v>
      </c>
    </row>
    <row r="16" spans="1:14" x14ac:dyDescent="0.25">
      <c r="A16" s="1">
        <v>5</v>
      </c>
      <c r="B16" s="4">
        <v>5.6358920364667198E-4</v>
      </c>
      <c r="C16" s="1">
        <v>0.815794717448312</v>
      </c>
      <c r="D16" s="1">
        <v>3.4640436994005901</v>
      </c>
      <c r="F16" s="1">
        <v>5</v>
      </c>
      <c r="G16" s="4">
        <v>1.76003679736608E-3</v>
      </c>
      <c r="H16" s="1">
        <v>22.340099107763201</v>
      </c>
      <c r="I16" s="1">
        <v>34.837265617281503</v>
      </c>
      <c r="K16" s="1">
        <v>5</v>
      </c>
      <c r="L16" s="4">
        <v>0.111912871438161</v>
      </c>
      <c r="M16" s="1">
        <v>246.99742708583599</v>
      </c>
      <c r="N16" s="1">
        <v>222.26169447056699</v>
      </c>
    </row>
    <row r="17" spans="1:14" x14ac:dyDescent="0.25">
      <c r="A17" s="1">
        <v>6</v>
      </c>
      <c r="B17" s="4">
        <v>7.3776281326766305E-4</v>
      </c>
      <c r="C17" s="1">
        <v>0.246729288429168</v>
      </c>
      <c r="D17" s="1">
        <v>2.0226279686453799</v>
      </c>
      <c r="F17" s="1">
        <v>6</v>
      </c>
      <c r="G17" s="4">
        <v>2.55809777815009E-3</v>
      </c>
      <c r="H17" s="1">
        <v>24.104738675269601</v>
      </c>
      <c r="I17" s="1">
        <v>47.046353037772903</v>
      </c>
      <c r="K17" s="1">
        <v>6</v>
      </c>
      <c r="L17" s="4">
        <v>0.121731115878738</v>
      </c>
      <c r="M17" s="1">
        <v>228.51597530462001</v>
      </c>
      <c r="N17" s="1">
        <v>242.603233851646</v>
      </c>
    </row>
    <row r="18" spans="1:14" x14ac:dyDescent="0.25">
      <c r="A18" s="1">
        <v>7</v>
      </c>
      <c r="B18" s="4">
        <v>1.69200761749926E-3</v>
      </c>
      <c r="C18" s="1">
        <v>0.573054386188388</v>
      </c>
      <c r="D18" s="1">
        <v>4.9378563961853796</v>
      </c>
      <c r="F18" s="1">
        <v>7</v>
      </c>
      <c r="G18" s="4">
        <v>2.5326047630377102E-3</v>
      </c>
      <c r="H18" s="1">
        <v>26.018159006694798</v>
      </c>
      <c r="I18" s="1">
        <v>46.881907436533403</v>
      </c>
      <c r="K18" s="1">
        <v>7</v>
      </c>
      <c r="L18" s="4">
        <v>0.14586531352016899</v>
      </c>
      <c r="M18" s="1">
        <v>233.28096328522801</v>
      </c>
      <c r="N18" s="1">
        <v>263.59378901695499</v>
      </c>
    </row>
    <row r="19" spans="1:14" x14ac:dyDescent="0.25">
      <c r="A19" s="1">
        <v>8</v>
      </c>
      <c r="B19" s="4">
        <v>4.82983988477425E-4</v>
      </c>
      <c r="C19" s="1">
        <v>1.9755846944365201</v>
      </c>
      <c r="D19" s="1">
        <v>3.4431196548979899</v>
      </c>
      <c r="F19" s="1">
        <v>8</v>
      </c>
      <c r="G19" s="4">
        <v>2.7598275593847901E-3</v>
      </c>
      <c r="H19" s="1">
        <v>28.2046943264437</v>
      </c>
      <c r="I19" s="1">
        <v>37.326014150651297</v>
      </c>
      <c r="K19" s="1">
        <v>8</v>
      </c>
      <c r="L19" s="4">
        <v>9.78949734754158E-2</v>
      </c>
      <c r="M19" s="1">
        <v>117.996175601419</v>
      </c>
      <c r="N19" s="1">
        <v>305.29325906694203</v>
      </c>
    </row>
    <row r="20" spans="1:14" x14ac:dyDescent="0.25">
      <c r="A20" s="1">
        <v>9</v>
      </c>
      <c r="B20" s="4">
        <v>9.73494284821322E-4</v>
      </c>
      <c r="C20" s="1">
        <v>0.53664997251265001</v>
      </c>
      <c r="D20" s="1">
        <v>4.8689968526871201</v>
      </c>
      <c r="F20" s="1">
        <v>9</v>
      </c>
      <c r="G20" s="4">
        <v>3.35219542282461E-3</v>
      </c>
      <c r="H20" s="1">
        <v>27.862368125591999</v>
      </c>
      <c r="I20" s="1">
        <v>21.856867107799001</v>
      </c>
      <c r="K20" s="1">
        <v>9</v>
      </c>
      <c r="L20" s="4">
        <v>0.12530556918368699</v>
      </c>
      <c r="M20" s="1">
        <v>181.24880329984299</v>
      </c>
      <c r="N20" s="1">
        <v>192.790689995093</v>
      </c>
    </row>
    <row r="21" spans="1:14" x14ac:dyDescent="0.25">
      <c r="A21" s="1">
        <v>10</v>
      </c>
      <c r="B21" s="4">
        <v>6.0642198680429995E-4</v>
      </c>
      <c r="C21" s="1">
        <v>0.38099830668622298</v>
      </c>
      <c r="D21" s="1">
        <v>4.8847988568346903</v>
      </c>
      <c r="F21" s="1">
        <v>10</v>
      </c>
      <c r="G21" s="4">
        <v>3.0955491466328E-3</v>
      </c>
      <c r="H21" s="1">
        <v>29.389812511466101</v>
      </c>
      <c r="I21" s="1">
        <v>57.589521453501597</v>
      </c>
      <c r="K21" s="1">
        <v>10</v>
      </c>
      <c r="L21" s="4">
        <v>0.142345125559033</v>
      </c>
      <c r="M21" s="1">
        <v>312.59934781522497</v>
      </c>
      <c r="N21" s="1">
        <v>246.21519349084201</v>
      </c>
    </row>
    <row r="22" spans="1:14" x14ac:dyDescent="0.25">
      <c r="A22" s="1">
        <v>11</v>
      </c>
      <c r="B22" s="4">
        <v>1.12431974873325E-3</v>
      </c>
      <c r="C22" s="1">
        <v>1.37058169006988</v>
      </c>
      <c r="D22" s="1">
        <v>6.2898795811245298</v>
      </c>
      <c r="F22" s="1">
        <v>11</v>
      </c>
      <c r="G22" s="4">
        <v>2.66589143700173E-3</v>
      </c>
      <c r="H22" s="1">
        <v>28.076435851874699</v>
      </c>
      <c r="I22" s="1">
        <v>56.181333438681797</v>
      </c>
      <c r="K22" s="1">
        <v>11</v>
      </c>
      <c r="L22" s="4">
        <v>0.140906098473673</v>
      </c>
      <c r="M22" s="1">
        <v>370.83167252574702</v>
      </c>
      <c r="N22" s="1">
        <v>219.74984639960601</v>
      </c>
    </row>
    <row r="23" spans="1:14" x14ac:dyDescent="0.25">
      <c r="A23" s="1">
        <v>12</v>
      </c>
      <c r="B23" s="4">
        <v>6.7280499605440502E-4</v>
      </c>
      <c r="C23" s="1">
        <v>0.84171912308706098</v>
      </c>
      <c r="D23" s="1">
        <v>6.3241245317077102</v>
      </c>
      <c r="F23" s="1">
        <v>12</v>
      </c>
      <c r="G23" s="4">
        <v>3.36977087422173E-3</v>
      </c>
      <c r="H23" s="1">
        <v>29.440733650167701</v>
      </c>
      <c r="I23" s="1">
        <v>44.839760236687802</v>
      </c>
      <c r="K23" s="1">
        <v>12</v>
      </c>
      <c r="L23" s="4">
        <v>0.109902539466774</v>
      </c>
      <c r="M23" s="1">
        <v>328.78497326887998</v>
      </c>
      <c r="N23" s="1">
        <v>259.99461665165302</v>
      </c>
    </row>
    <row r="24" spans="1:14" x14ac:dyDescent="0.25">
      <c r="A24" s="1">
        <v>13</v>
      </c>
      <c r="B24" s="4">
        <v>9.9840564298947802E-4</v>
      </c>
      <c r="C24" s="1">
        <v>4.42349981179074</v>
      </c>
      <c r="D24" s="1">
        <v>3.45670598038356</v>
      </c>
      <c r="F24" s="1">
        <v>13</v>
      </c>
      <c r="G24" s="4">
        <v>3.0642219187541398E-3</v>
      </c>
      <c r="H24" s="1">
        <v>28.858282975286599</v>
      </c>
      <c r="I24" s="1">
        <v>40.577842468904997</v>
      </c>
      <c r="K24" s="1">
        <v>13</v>
      </c>
      <c r="L24" s="4">
        <v>0.101836748261619</v>
      </c>
      <c r="M24" s="1">
        <v>137.491788587527</v>
      </c>
      <c r="N24" s="1">
        <v>237.01053163818401</v>
      </c>
    </row>
    <row r="25" spans="1:14" x14ac:dyDescent="0.25">
      <c r="A25" s="1">
        <v>14</v>
      </c>
      <c r="B25" s="4">
        <v>1.3787445513361099E-3</v>
      </c>
      <c r="C25" s="1">
        <v>4.5734398578724198</v>
      </c>
      <c r="D25" s="1">
        <v>2.1295993267529201</v>
      </c>
      <c r="F25" s="1">
        <v>14</v>
      </c>
      <c r="G25" s="4">
        <v>2.4382870623747802E-3</v>
      </c>
      <c r="H25" s="1">
        <v>28.904112733510001</v>
      </c>
      <c r="I25" s="1">
        <v>42.633683312410398</v>
      </c>
      <c r="K25" s="1">
        <v>14</v>
      </c>
      <c r="L25" s="4">
        <v>0.13292740449295501</v>
      </c>
      <c r="M25" s="1">
        <v>195.29517141533299</v>
      </c>
      <c r="N25" s="1">
        <v>206.28833006981799</v>
      </c>
    </row>
    <row r="26" spans="1:14" x14ac:dyDescent="0.25">
      <c r="A26" s="1">
        <v>15</v>
      </c>
      <c r="B26" s="4">
        <v>1.27990294412774E-3</v>
      </c>
      <c r="C26" s="1">
        <v>1.2618634564708899</v>
      </c>
      <c r="D26" s="1">
        <v>3.47013676386086</v>
      </c>
      <c r="F26" s="1">
        <v>15</v>
      </c>
      <c r="G26" s="4">
        <v>2.5428110744004002E-3</v>
      </c>
      <c r="H26" s="1">
        <v>25.240524925778299</v>
      </c>
      <c r="I26" s="1">
        <v>30.0691900412466</v>
      </c>
      <c r="K26" s="1">
        <v>15</v>
      </c>
      <c r="L26" s="4">
        <v>0.13185351989515501</v>
      </c>
      <c r="M26" s="1">
        <v>320.86441714876298</v>
      </c>
      <c r="N26" s="1">
        <v>212.54035138761799</v>
      </c>
    </row>
    <row r="27" spans="1:14" x14ac:dyDescent="0.25">
      <c r="A27" s="1">
        <v>16</v>
      </c>
      <c r="B27" s="4">
        <v>9.9628312468519505E-4</v>
      </c>
      <c r="C27" s="4">
        <v>0.79615140749990398</v>
      </c>
      <c r="D27" s="1">
        <v>3.4367777295796098</v>
      </c>
      <c r="F27" s="1">
        <v>16</v>
      </c>
      <c r="G27" s="4">
        <v>4.1483803857465902E-3</v>
      </c>
      <c r="H27" s="4">
        <v>28.289383062601299</v>
      </c>
      <c r="I27" s="1">
        <v>41.478729814766602</v>
      </c>
      <c r="K27" s="1">
        <v>16</v>
      </c>
      <c r="L27" s="4">
        <v>0.15799452805559899</v>
      </c>
      <c r="M27" s="4">
        <v>369.55893368554899</v>
      </c>
      <c r="N27" s="1">
        <v>308.50264894425902</v>
      </c>
    </row>
    <row r="28" spans="1:14" x14ac:dyDescent="0.25">
      <c r="A28" s="1">
        <v>17</v>
      </c>
      <c r="B28" s="4">
        <v>1.16151609909912E-3</v>
      </c>
      <c r="C28" s="1">
        <v>0.44322378970578802</v>
      </c>
      <c r="D28" s="1">
        <v>3.4602405592663401</v>
      </c>
      <c r="F28" s="1">
        <v>17</v>
      </c>
      <c r="G28" s="4">
        <v>2.79622404374916E-3</v>
      </c>
      <c r="H28" s="1">
        <v>83.534898753895405</v>
      </c>
      <c r="I28" s="1">
        <v>51.2435298733472</v>
      </c>
      <c r="K28" s="1">
        <v>17</v>
      </c>
      <c r="L28" s="4">
        <v>0.12537476998765301</v>
      </c>
      <c r="M28" s="1">
        <v>313.15565361885001</v>
      </c>
      <c r="N28" s="1">
        <v>338.43293954344699</v>
      </c>
    </row>
    <row r="29" spans="1:14" x14ac:dyDescent="0.25">
      <c r="A29" s="1">
        <v>18</v>
      </c>
      <c r="B29" s="4">
        <v>4.2770410884391202E-4</v>
      </c>
      <c r="C29" s="1">
        <v>0.69239887885726403</v>
      </c>
      <c r="D29" s="1">
        <v>2.0371589515124802</v>
      </c>
      <c r="F29" s="1">
        <v>18</v>
      </c>
      <c r="G29" s="4">
        <v>3.63260089227077E-3</v>
      </c>
      <c r="H29" s="1">
        <v>28.111065185427901</v>
      </c>
      <c r="I29" s="1">
        <v>43.950982202446902</v>
      </c>
      <c r="K29" s="1">
        <v>18</v>
      </c>
      <c r="L29" s="4">
        <v>0.13502866034286101</v>
      </c>
      <c r="M29" s="1">
        <v>293.62845625932499</v>
      </c>
      <c r="N29" s="1">
        <v>258.02594708170602</v>
      </c>
    </row>
    <row r="30" spans="1:14" x14ac:dyDescent="0.25">
      <c r="A30" s="1">
        <v>19</v>
      </c>
      <c r="B30" s="4">
        <v>5.7347251286001997E-4</v>
      </c>
      <c r="C30" s="1">
        <v>0.86501369957018004</v>
      </c>
      <c r="D30" s="1">
        <v>4.9040197284383904</v>
      </c>
      <c r="F30" s="1">
        <v>19</v>
      </c>
      <c r="G30" s="4">
        <v>2.3152858215089102E-3</v>
      </c>
      <c r="H30" s="1">
        <v>81.811959272009403</v>
      </c>
      <c r="I30" s="1">
        <v>39.0267932197916</v>
      </c>
      <c r="K30" s="1">
        <v>19</v>
      </c>
      <c r="L30" s="4">
        <v>0.114577865937214</v>
      </c>
      <c r="M30" s="1">
        <v>247.164917309586</v>
      </c>
      <c r="N30" s="1">
        <v>261.20593422508</v>
      </c>
    </row>
    <row r="31" spans="1:14" x14ac:dyDescent="0.25">
      <c r="A31" s="1">
        <v>20</v>
      </c>
      <c r="B31" s="4">
        <v>1.5261265933904501E-3</v>
      </c>
      <c r="C31" s="1">
        <v>0.244097948925491</v>
      </c>
      <c r="D31" s="1">
        <v>4.85231813213771</v>
      </c>
      <c r="F31" s="1">
        <v>20</v>
      </c>
      <c r="G31" s="4">
        <v>3.0678823270199802E-3</v>
      </c>
      <c r="H31" s="1">
        <v>27.692428777284</v>
      </c>
      <c r="I31" s="1">
        <v>43.974053976836402</v>
      </c>
      <c r="K31" s="1">
        <v>20</v>
      </c>
      <c r="L31" s="4">
        <v>0.120672564388558</v>
      </c>
      <c r="M31" s="1">
        <v>208.629570190724</v>
      </c>
      <c r="N31" s="1">
        <v>256.34358223152401</v>
      </c>
    </row>
    <row r="32" spans="1:14" x14ac:dyDescent="0.25">
      <c r="A32" s="1">
        <v>21</v>
      </c>
      <c r="B32" s="4">
        <v>1.22056600412262E-3</v>
      </c>
      <c r="C32" s="1">
        <v>0.58513201109770796</v>
      </c>
      <c r="D32" s="1">
        <v>3.49992901004912</v>
      </c>
      <c r="F32" s="1">
        <v>21</v>
      </c>
      <c r="G32" s="4">
        <v>2.4070470288500602E-3</v>
      </c>
      <c r="H32" s="1">
        <v>82.167994157015102</v>
      </c>
      <c r="I32" s="1">
        <v>37.803410674832698</v>
      </c>
      <c r="K32" s="1">
        <v>21</v>
      </c>
      <c r="L32" s="4">
        <v>0.114272549923616</v>
      </c>
      <c r="M32" s="1">
        <v>321.57978883574901</v>
      </c>
      <c r="N32" s="1">
        <v>225.81859434374101</v>
      </c>
    </row>
    <row r="33" spans="1:14" x14ac:dyDescent="0.25">
      <c r="A33" s="1">
        <v>22</v>
      </c>
      <c r="B33" s="4">
        <v>8.6465768440155205E-4</v>
      </c>
      <c r="C33" s="1">
        <v>4.3476433657698603</v>
      </c>
      <c r="D33" s="1">
        <v>2.0291081805969702</v>
      </c>
      <c r="F33" s="1">
        <v>22</v>
      </c>
      <c r="G33" s="4">
        <v>4.0835242776946596E-3</v>
      </c>
      <c r="H33" s="1">
        <v>28.1017843689587</v>
      </c>
      <c r="I33" s="1">
        <v>31.2650918821913</v>
      </c>
      <c r="K33" s="1">
        <v>22</v>
      </c>
      <c r="L33" s="4">
        <v>0.110739313403364</v>
      </c>
      <c r="M33" s="1">
        <v>170.216689608564</v>
      </c>
      <c r="N33" s="1">
        <v>212.52623668120299</v>
      </c>
    </row>
    <row r="34" spans="1:14" x14ac:dyDescent="0.25">
      <c r="A34" s="1">
        <v>23</v>
      </c>
      <c r="B34" s="4">
        <v>9.7036690179476501E-4</v>
      </c>
      <c r="C34" s="1">
        <v>0.57420281755838898</v>
      </c>
      <c r="D34" s="1">
        <v>4.9656549244485504</v>
      </c>
      <c r="F34" s="1">
        <v>23</v>
      </c>
      <c r="G34" s="4">
        <v>1.79149914231143E-3</v>
      </c>
      <c r="H34" s="1">
        <v>26.4902747194688</v>
      </c>
      <c r="I34" s="1">
        <v>38.549065708929199</v>
      </c>
      <c r="K34" s="1">
        <v>23</v>
      </c>
      <c r="L34" s="4">
        <v>0.118212362991611</v>
      </c>
      <c r="M34" s="1">
        <v>179.260433148934</v>
      </c>
      <c r="N34" s="1">
        <v>283.588008302258</v>
      </c>
    </row>
    <row r="35" spans="1:14" x14ac:dyDescent="0.25">
      <c r="A35" s="1">
        <v>24</v>
      </c>
      <c r="B35" s="4">
        <v>8.2692158090444899E-4</v>
      </c>
      <c r="C35" s="1">
        <v>4.0808017746576297</v>
      </c>
      <c r="D35" s="1">
        <v>2.0186965808366</v>
      </c>
      <c r="F35" s="1">
        <v>24</v>
      </c>
      <c r="G35" s="4">
        <v>3.03851350962734E-3</v>
      </c>
      <c r="H35" s="1">
        <v>27.271470950450201</v>
      </c>
      <c r="I35" s="1">
        <v>39.392432453897499</v>
      </c>
      <c r="K35" s="1">
        <v>24</v>
      </c>
      <c r="L35" s="4">
        <v>0.109243853267559</v>
      </c>
      <c r="M35" s="1">
        <v>283.23337306884002</v>
      </c>
      <c r="N35" s="1">
        <v>218.971326948501</v>
      </c>
    </row>
    <row r="36" spans="1:14" x14ac:dyDescent="0.25">
      <c r="A36" s="1">
        <v>25</v>
      </c>
      <c r="B36" s="4">
        <v>6.1270610529117495E-4</v>
      </c>
      <c r="C36" s="1">
        <v>0.85657981670037597</v>
      </c>
      <c r="D36" s="1">
        <v>2.0059642487580498</v>
      </c>
      <c r="F36" s="1">
        <v>25</v>
      </c>
      <c r="G36" s="4">
        <v>3.1906877858120198E-3</v>
      </c>
      <c r="H36" s="1">
        <v>28.235931888574498</v>
      </c>
      <c r="I36" s="1">
        <v>45.565372248242802</v>
      </c>
      <c r="K36" s="1">
        <v>25</v>
      </c>
      <c r="L36" s="4">
        <v>0.105346652752841</v>
      </c>
      <c r="M36" s="1">
        <v>186.196249292852</v>
      </c>
      <c r="N36" s="1">
        <v>239.51081693260801</v>
      </c>
    </row>
    <row r="37" spans="1:14" x14ac:dyDescent="0.25">
      <c r="A37" s="1">
        <v>26</v>
      </c>
      <c r="B37" s="4">
        <v>4.68545133091599E-4</v>
      </c>
      <c r="C37" s="1">
        <v>4.5387303568418202</v>
      </c>
      <c r="D37" s="1">
        <v>2.0047023697143098</v>
      </c>
      <c r="F37" s="1">
        <v>26</v>
      </c>
      <c r="G37" s="4">
        <v>2.5641059355337899E-3</v>
      </c>
      <c r="H37" s="1">
        <v>26.707450921015301</v>
      </c>
      <c r="I37" s="1">
        <v>28.776652768378799</v>
      </c>
      <c r="K37" s="1">
        <v>26</v>
      </c>
      <c r="L37" s="4">
        <v>9.7947928631025097E-2</v>
      </c>
      <c r="M37" s="1">
        <v>189.910495643617</v>
      </c>
      <c r="N37" s="1">
        <v>203.89281677787099</v>
      </c>
    </row>
    <row r="38" spans="1:14" x14ac:dyDescent="0.25">
      <c r="A38" s="1">
        <v>27</v>
      </c>
      <c r="B38" s="4">
        <v>9.0046966813939905E-4</v>
      </c>
      <c r="C38" s="1">
        <v>0.50974889725000805</v>
      </c>
      <c r="D38" s="1">
        <v>4.9250453139391102</v>
      </c>
      <c r="F38" s="1">
        <v>27</v>
      </c>
      <c r="G38" s="4">
        <v>3.2610097287566501E-3</v>
      </c>
      <c r="H38" s="1">
        <v>79.918289016551995</v>
      </c>
      <c r="I38" s="1">
        <v>41.345551293230201</v>
      </c>
      <c r="K38" s="1">
        <v>27</v>
      </c>
      <c r="L38" s="4">
        <v>0.14890849264216399</v>
      </c>
      <c r="M38" s="1">
        <v>326.25035525709598</v>
      </c>
      <c r="N38" s="1">
        <v>230.290416730662</v>
      </c>
    </row>
    <row r="39" spans="1:14" x14ac:dyDescent="0.25">
      <c r="A39" s="1">
        <v>28</v>
      </c>
      <c r="B39" s="4">
        <v>2.39055153972938E-4</v>
      </c>
      <c r="C39" s="1">
        <v>4.2239804600568798</v>
      </c>
      <c r="D39" s="1">
        <v>3.4284818858101498</v>
      </c>
      <c r="F39" s="1">
        <v>28</v>
      </c>
      <c r="G39" s="4">
        <v>2.7145713523214201E-3</v>
      </c>
      <c r="H39" s="1">
        <v>28.399777788685501</v>
      </c>
      <c r="I39" s="1">
        <v>25.784790209099398</v>
      </c>
      <c r="K39" s="1">
        <v>28</v>
      </c>
      <c r="L39" s="4">
        <v>0.108720708359268</v>
      </c>
      <c r="M39" s="1">
        <v>244.96503907064599</v>
      </c>
      <c r="N39" s="1">
        <v>211.491293427404</v>
      </c>
    </row>
    <row r="40" spans="1:14" x14ac:dyDescent="0.25">
      <c r="A40" s="1">
        <v>29</v>
      </c>
      <c r="B40" s="4">
        <v>5.4618748829084597E-4</v>
      </c>
      <c r="C40" s="1">
        <v>0.27100575945932198</v>
      </c>
      <c r="D40" s="1">
        <v>6.2795142711838396</v>
      </c>
      <c r="F40" s="1">
        <v>29</v>
      </c>
      <c r="G40" s="4">
        <v>2.7855385978258901E-3</v>
      </c>
      <c r="H40" s="1">
        <v>28.787258826810199</v>
      </c>
      <c r="I40" s="1">
        <v>30.710452537084802</v>
      </c>
      <c r="K40" s="1">
        <v>29</v>
      </c>
      <c r="L40" s="4">
        <v>0.13281569492490999</v>
      </c>
      <c r="M40" s="1">
        <v>285.82919883870602</v>
      </c>
      <c r="N40" s="1">
        <v>216.978823580643</v>
      </c>
    </row>
    <row r="41" spans="1:14" x14ac:dyDescent="0.25">
      <c r="A41" s="1">
        <v>30</v>
      </c>
      <c r="B41" s="4">
        <v>5.3367940817293502E-4</v>
      </c>
      <c r="C41" s="1">
        <v>0.50260465570817703</v>
      </c>
      <c r="D41" s="1">
        <v>3.49046366384492</v>
      </c>
      <c r="F41" s="1">
        <v>30</v>
      </c>
      <c r="G41" s="4">
        <v>3.1928279816792302E-3</v>
      </c>
      <c r="H41" s="1">
        <v>27.6528515326522</v>
      </c>
      <c r="I41" s="1">
        <v>45.311771967592797</v>
      </c>
      <c r="K41" s="1">
        <v>30</v>
      </c>
      <c r="L41" s="4">
        <v>0.13675325988312401</v>
      </c>
      <c r="M41" s="1">
        <v>257.92195630681698</v>
      </c>
      <c r="N41" s="1">
        <v>262.05790030554402</v>
      </c>
    </row>
    <row r="42" spans="1:14" x14ac:dyDescent="0.25">
      <c r="A42" s="1">
        <v>31</v>
      </c>
      <c r="B42" s="4">
        <v>9.8277855124617795E-4</v>
      </c>
      <c r="C42" s="1">
        <v>0.71415758116212502</v>
      </c>
      <c r="D42" s="1">
        <v>4.9473988491118401</v>
      </c>
      <c r="F42" s="1">
        <v>31</v>
      </c>
      <c r="G42" s="4">
        <v>3.2932831807315501E-3</v>
      </c>
      <c r="H42" s="1">
        <v>70.166042387706199</v>
      </c>
      <c r="I42" s="1">
        <v>32.526722660430998</v>
      </c>
      <c r="K42" s="1">
        <v>31</v>
      </c>
      <c r="L42" s="4">
        <v>8.6037288988625907E-2</v>
      </c>
      <c r="M42" s="1">
        <v>196.84574154792099</v>
      </c>
      <c r="N42" s="1">
        <v>205.88677920800799</v>
      </c>
    </row>
    <row r="43" spans="1:14" x14ac:dyDescent="0.25">
      <c r="A43" s="1">
        <v>32</v>
      </c>
      <c r="B43" s="4">
        <v>1.25635445495207E-3</v>
      </c>
      <c r="C43" s="1">
        <v>0.35746326066360501</v>
      </c>
      <c r="D43" s="1">
        <v>4.91234441321755</v>
      </c>
      <c r="F43" s="1">
        <v>32</v>
      </c>
      <c r="G43" s="4">
        <v>2.3934604228484798E-3</v>
      </c>
      <c r="H43" s="1">
        <v>81.945357328178005</v>
      </c>
      <c r="I43" s="1">
        <v>44.285476140073797</v>
      </c>
      <c r="K43" s="1">
        <v>32</v>
      </c>
      <c r="L43" s="4">
        <v>0.12977648945732301</v>
      </c>
      <c r="M43" s="1">
        <v>350.51730286601901</v>
      </c>
      <c r="N43" s="1">
        <v>223.85487418236701</v>
      </c>
    </row>
    <row r="44" spans="1:14" x14ac:dyDescent="0.25">
      <c r="A44" s="1">
        <v>33</v>
      </c>
      <c r="B44" s="4">
        <v>8.2569051403317596E-4</v>
      </c>
      <c r="C44" s="1">
        <v>1.35017493990482</v>
      </c>
      <c r="D44" s="1">
        <v>7.7092044878640502</v>
      </c>
      <c r="F44" s="1">
        <v>33</v>
      </c>
      <c r="G44" s="4">
        <v>2.5345586683733299E-3</v>
      </c>
      <c r="H44" s="1">
        <v>28.6526538344987</v>
      </c>
      <c r="I44" s="1">
        <v>38.970784946230097</v>
      </c>
      <c r="K44" s="1">
        <v>33</v>
      </c>
      <c r="L44" s="4">
        <v>0.140207603678873</v>
      </c>
      <c r="M44" s="1">
        <v>277.33283613947401</v>
      </c>
      <c r="N44" s="1">
        <v>249.995208856923</v>
      </c>
    </row>
    <row r="45" spans="1:14" x14ac:dyDescent="0.25">
      <c r="A45" s="1">
        <v>34</v>
      </c>
      <c r="B45" s="4">
        <v>3.1754566752598801E-4</v>
      </c>
      <c r="C45" s="1">
        <v>2.1311939984045698</v>
      </c>
      <c r="D45" s="1">
        <v>3.4823125275088298</v>
      </c>
      <c r="F45" s="1">
        <v>34</v>
      </c>
      <c r="G45" s="4">
        <v>3.5853627420610202E-3</v>
      </c>
      <c r="H45" s="1">
        <v>26.5628912236077</v>
      </c>
      <c r="I45" s="1">
        <v>45.552959761342997</v>
      </c>
      <c r="K45" s="1">
        <v>34</v>
      </c>
      <c r="L45" s="4">
        <v>0.120187051492921</v>
      </c>
      <c r="M45" s="1">
        <v>248.19988939426901</v>
      </c>
      <c r="N45" s="1">
        <v>228.01252027346399</v>
      </c>
    </row>
    <row r="46" spans="1:14" x14ac:dyDescent="0.25">
      <c r="A46" s="1">
        <v>35</v>
      </c>
      <c r="B46" s="4">
        <v>4.6385821394242198E-4</v>
      </c>
      <c r="C46" s="1">
        <v>0.55837384835932202</v>
      </c>
      <c r="D46" s="1">
        <v>2.0552593916683302</v>
      </c>
      <c r="F46" s="1">
        <v>35</v>
      </c>
      <c r="G46" s="4">
        <v>3.4962294092033401E-3</v>
      </c>
      <c r="H46" s="1">
        <v>81.260759798712002</v>
      </c>
      <c r="I46" s="1">
        <v>35.111676028325199</v>
      </c>
      <c r="K46" s="1">
        <v>35</v>
      </c>
      <c r="L46" s="4">
        <v>0.12851045451033799</v>
      </c>
      <c r="M46" s="1">
        <v>193.80685182482401</v>
      </c>
      <c r="N46" s="1">
        <v>213.97418206278999</v>
      </c>
    </row>
    <row r="47" spans="1:14" x14ac:dyDescent="0.25">
      <c r="A47" s="1">
        <v>36</v>
      </c>
      <c r="B47" s="4">
        <v>1.09154657241126E-3</v>
      </c>
      <c r="C47" s="1">
        <v>1.06708549081114</v>
      </c>
      <c r="D47" s="1">
        <v>4.9254222715837903</v>
      </c>
      <c r="F47" s="1">
        <v>36</v>
      </c>
      <c r="G47" s="4">
        <v>1.8222157364759801E-3</v>
      </c>
      <c r="H47" s="1">
        <v>29.831937324806098</v>
      </c>
      <c r="I47" s="1">
        <v>48.310800644092197</v>
      </c>
      <c r="K47" s="1">
        <v>36</v>
      </c>
      <c r="L47" s="4">
        <v>0.108095507983249</v>
      </c>
      <c r="M47" s="1">
        <v>257.23345198571502</v>
      </c>
      <c r="N47" s="1">
        <v>229.62598195105301</v>
      </c>
    </row>
    <row r="48" spans="1:14" x14ac:dyDescent="0.25">
      <c r="A48" s="1">
        <v>37</v>
      </c>
      <c r="B48" s="4">
        <v>1.4977870894760899E-3</v>
      </c>
      <c r="C48" s="1">
        <v>0.366614969664459</v>
      </c>
      <c r="D48" s="1">
        <v>6.3267083476547796</v>
      </c>
      <c r="F48" s="1">
        <v>37</v>
      </c>
      <c r="G48" s="4">
        <v>2.0261928163564499E-3</v>
      </c>
      <c r="H48" s="1">
        <v>81.089685805837107</v>
      </c>
      <c r="I48" s="1">
        <v>28.4639713993136</v>
      </c>
      <c r="K48" s="1">
        <v>37</v>
      </c>
      <c r="L48" s="4">
        <v>9.1075173266065595E-2</v>
      </c>
      <c r="M48" s="1">
        <v>218.66055713744899</v>
      </c>
      <c r="N48" s="1">
        <v>182.91701537320299</v>
      </c>
    </row>
    <row r="49" spans="1:14" x14ac:dyDescent="0.25">
      <c r="A49" s="1">
        <v>38</v>
      </c>
      <c r="B49" s="4">
        <v>4.9890761784822195E-4</v>
      </c>
      <c r="C49" s="1">
        <v>0.46831451702118998</v>
      </c>
      <c r="D49" s="1">
        <v>3.49126196629441</v>
      </c>
      <c r="F49" s="1">
        <v>38</v>
      </c>
      <c r="G49" s="4">
        <v>2.6618711394746802E-3</v>
      </c>
      <c r="H49" s="1">
        <v>27.999597444410199</v>
      </c>
      <c r="I49" s="1">
        <v>34.920788584903001</v>
      </c>
      <c r="K49" s="1">
        <v>38</v>
      </c>
      <c r="L49" s="4">
        <v>8.9532968985355302E-2</v>
      </c>
      <c r="M49" s="1">
        <v>197.346786553535</v>
      </c>
      <c r="N49" s="1">
        <v>226.66449573439601</v>
      </c>
    </row>
    <row r="50" spans="1:14" x14ac:dyDescent="0.25">
      <c r="A50" s="1">
        <v>39</v>
      </c>
      <c r="B50" s="4">
        <v>1.1556190528960401E-3</v>
      </c>
      <c r="C50" s="1">
        <v>0.58273931121195999</v>
      </c>
      <c r="D50" s="1">
        <v>3.4998871743038</v>
      </c>
      <c r="F50" s="1">
        <v>39</v>
      </c>
      <c r="G50" s="4">
        <v>2.5527657543424299E-3</v>
      </c>
      <c r="H50" s="1">
        <v>25.821454069255001</v>
      </c>
      <c r="I50" s="1">
        <v>41.156994234413901</v>
      </c>
      <c r="K50" s="1">
        <v>39</v>
      </c>
      <c r="L50" s="4">
        <v>0.104240264617149</v>
      </c>
      <c r="M50" s="1">
        <v>393.10346014990699</v>
      </c>
      <c r="N50" s="1">
        <v>284.18351515233098</v>
      </c>
    </row>
    <row r="51" spans="1:14" x14ac:dyDescent="0.25">
      <c r="A51" s="1">
        <v>40</v>
      </c>
      <c r="B51" s="4">
        <v>1.89035256068973E-3</v>
      </c>
      <c r="C51" s="1">
        <v>1.2129113684327499</v>
      </c>
      <c r="D51" s="1">
        <v>6.3046140696893902</v>
      </c>
      <c r="F51" s="1">
        <v>40</v>
      </c>
      <c r="G51" s="4">
        <v>2.1188649617652601E-3</v>
      </c>
      <c r="H51" s="1">
        <v>28.6589177146863</v>
      </c>
      <c r="I51" s="1">
        <v>46.5963195366528</v>
      </c>
      <c r="K51" s="1">
        <v>40</v>
      </c>
      <c r="L51" s="4">
        <v>0.104578028692217</v>
      </c>
      <c r="M51" s="1">
        <v>374.46100258275601</v>
      </c>
      <c r="N51" s="1">
        <v>266.699234696551</v>
      </c>
    </row>
    <row r="52" spans="1:14" x14ac:dyDescent="0.25">
      <c r="A52" s="1">
        <v>41</v>
      </c>
      <c r="B52" s="4">
        <v>1.9852584249796198E-3</v>
      </c>
      <c r="C52" s="1">
        <v>0.261387480604864</v>
      </c>
      <c r="D52" s="1">
        <v>4.9008065552306599</v>
      </c>
      <c r="F52" s="1">
        <v>41</v>
      </c>
      <c r="G52" s="4">
        <v>2.30644485266061E-3</v>
      </c>
      <c r="H52" s="1">
        <v>27.746251446217698</v>
      </c>
      <c r="I52" s="1">
        <v>47.903107019665697</v>
      </c>
      <c r="K52" s="1">
        <v>41</v>
      </c>
      <c r="L52" s="4">
        <v>0.11472449828209801</v>
      </c>
      <c r="M52" s="1">
        <v>314.84299079177902</v>
      </c>
      <c r="N52" s="1">
        <v>240.88542727843199</v>
      </c>
    </row>
    <row r="53" spans="1:14" x14ac:dyDescent="0.25">
      <c r="A53" s="1">
        <v>42</v>
      </c>
      <c r="B53" s="4">
        <v>9.8968894240441109E-4</v>
      </c>
      <c r="C53" s="1">
        <v>0.706560118606403</v>
      </c>
      <c r="D53" s="1">
        <v>4.88631447019148</v>
      </c>
      <c r="F53" s="1">
        <v>42</v>
      </c>
      <c r="G53" s="4">
        <v>2.28818502165815E-3</v>
      </c>
      <c r="H53" s="1">
        <v>27.296373822328299</v>
      </c>
      <c r="I53" s="1">
        <v>52.9625277347157</v>
      </c>
      <c r="K53" s="1">
        <v>42</v>
      </c>
      <c r="L53" s="4">
        <v>0.11403158620355699</v>
      </c>
      <c r="M53" s="1">
        <v>256.11111485598798</v>
      </c>
      <c r="N53" s="1">
        <v>270.936853788615</v>
      </c>
    </row>
    <row r="54" spans="1:14" x14ac:dyDescent="0.25">
      <c r="A54" s="1">
        <v>43</v>
      </c>
      <c r="B54" s="4">
        <v>4.9027042751668103E-4</v>
      </c>
      <c r="C54" s="1">
        <v>0.992135630076173</v>
      </c>
      <c r="D54" s="1">
        <v>11.3284528561851</v>
      </c>
      <c r="F54" s="1">
        <v>43</v>
      </c>
      <c r="G54" s="4">
        <v>3.2579956261470601E-3</v>
      </c>
      <c r="H54" s="1">
        <v>82.815499023337196</v>
      </c>
      <c r="I54" s="1">
        <v>30.919551896026601</v>
      </c>
      <c r="K54" s="1">
        <v>43</v>
      </c>
      <c r="L54" s="4">
        <v>0.12710744623787501</v>
      </c>
      <c r="M54" s="1">
        <v>241.28632680920401</v>
      </c>
      <c r="N54" s="1">
        <v>257.17944430958698</v>
      </c>
    </row>
    <row r="55" spans="1:14" x14ac:dyDescent="0.25">
      <c r="A55" s="1">
        <v>44</v>
      </c>
      <c r="B55" s="4">
        <v>2.1223106643138501E-3</v>
      </c>
      <c r="C55" s="1">
        <v>4.9314368753390596</v>
      </c>
      <c r="D55" s="1">
        <v>4.8687269555094801</v>
      </c>
      <c r="F55" s="1">
        <v>44</v>
      </c>
      <c r="G55" s="4">
        <v>2.8178541490689901E-3</v>
      </c>
      <c r="H55" s="1">
        <v>82.577414086709297</v>
      </c>
      <c r="I55" s="1">
        <v>32.558283443435002</v>
      </c>
      <c r="K55" s="1">
        <v>44</v>
      </c>
      <c r="L55" s="4">
        <v>0.10483295634248101</v>
      </c>
      <c r="M55" s="1">
        <v>187.76344069509599</v>
      </c>
      <c r="N55" s="1">
        <v>249.95016372977599</v>
      </c>
    </row>
    <row r="56" spans="1:14" x14ac:dyDescent="0.25">
      <c r="A56" s="1">
        <v>45</v>
      </c>
      <c r="B56" s="4">
        <v>1.37661112796867E-3</v>
      </c>
      <c r="C56" s="1">
        <v>0.44964335038599901</v>
      </c>
      <c r="D56" s="1">
        <v>6.3027192354253998</v>
      </c>
      <c r="F56" s="1">
        <v>45</v>
      </c>
      <c r="G56" s="4">
        <v>2.3343599084404E-3</v>
      </c>
      <c r="H56" s="1">
        <v>28.311764260122501</v>
      </c>
      <c r="I56" s="1">
        <v>28.951162846215901</v>
      </c>
      <c r="K56" s="1">
        <v>45</v>
      </c>
      <c r="L56" s="4">
        <v>0.120500088095851</v>
      </c>
      <c r="M56" s="1">
        <v>266.64333985217399</v>
      </c>
      <c r="N56" s="1">
        <v>218.56625243256701</v>
      </c>
    </row>
    <row r="57" spans="1:14" x14ac:dyDescent="0.25">
      <c r="A57" s="1">
        <v>46</v>
      </c>
      <c r="B57" s="4">
        <v>5.0638867655443897E-4</v>
      </c>
      <c r="C57" s="1">
        <v>1.1826099002586601</v>
      </c>
      <c r="D57" s="1">
        <v>4.9285611375783596</v>
      </c>
      <c r="F57" s="1">
        <v>46</v>
      </c>
      <c r="G57" s="4">
        <v>2.1996300726846701E-3</v>
      </c>
      <c r="H57" s="1">
        <v>28.7946774953678</v>
      </c>
      <c r="I57" s="1">
        <v>54.146308232528803</v>
      </c>
      <c r="K57" s="1">
        <v>46</v>
      </c>
      <c r="L57" s="4">
        <v>0.124016307828335</v>
      </c>
      <c r="M57" s="1">
        <v>220.82799142093299</v>
      </c>
      <c r="N57" s="1">
        <v>252.56751176661501</v>
      </c>
    </row>
    <row r="58" spans="1:14" x14ac:dyDescent="0.25">
      <c r="A58" s="1">
        <v>47</v>
      </c>
      <c r="B58" s="4">
        <v>8.9400723645366204E-4</v>
      </c>
      <c r="C58" s="1">
        <v>4.3989873961099599</v>
      </c>
      <c r="D58" s="1">
        <v>3.4724228187334898</v>
      </c>
      <c r="F58" s="1">
        <v>47</v>
      </c>
      <c r="G58" s="4">
        <v>3.02016820522549E-3</v>
      </c>
      <c r="H58" s="1">
        <v>26.6829127561384</v>
      </c>
      <c r="I58" s="1">
        <v>58.042827907527702</v>
      </c>
      <c r="K58" s="1">
        <v>47</v>
      </c>
      <c r="L58" s="4">
        <v>0.13113136812271101</v>
      </c>
      <c r="M58" s="1">
        <v>223.80045696821901</v>
      </c>
      <c r="N58" s="1">
        <v>284.20247103293701</v>
      </c>
    </row>
    <row r="59" spans="1:14" x14ac:dyDescent="0.25">
      <c r="A59" s="1">
        <v>48</v>
      </c>
      <c r="B59" s="4">
        <v>1.9620362834037001E-3</v>
      </c>
      <c r="C59" s="1">
        <v>0.23411714634160999</v>
      </c>
      <c r="D59" s="1">
        <v>6.3219323481161096</v>
      </c>
      <c r="F59" s="1">
        <v>48</v>
      </c>
      <c r="G59" s="4">
        <v>2.56905453364774E-3</v>
      </c>
      <c r="H59" s="1">
        <v>27.977318811135699</v>
      </c>
      <c r="I59" s="1">
        <v>43.941513692551098</v>
      </c>
      <c r="K59" s="1">
        <v>48</v>
      </c>
      <c r="L59" s="4">
        <v>0.114879637618784</v>
      </c>
      <c r="M59" s="1">
        <v>277.00734242737798</v>
      </c>
      <c r="N59" s="1">
        <v>192.18720239937201</v>
      </c>
    </row>
    <row r="60" spans="1:14" x14ac:dyDescent="0.25">
      <c r="A60" s="1">
        <v>49</v>
      </c>
      <c r="B60" s="4">
        <v>1.57126385128519E-3</v>
      </c>
      <c r="C60" s="1">
        <v>4.25171156482455</v>
      </c>
      <c r="D60" s="1">
        <v>4.8884754209892396</v>
      </c>
      <c r="F60" s="1">
        <v>49</v>
      </c>
      <c r="G60" s="4">
        <v>3.3193092542813901E-3</v>
      </c>
      <c r="H60" s="1">
        <v>28.426590942103601</v>
      </c>
      <c r="I60" s="1">
        <v>60.313815245131899</v>
      </c>
      <c r="K60" s="1">
        <v>49</v>
      </c>
      <c r="L60" s="4">
        <v>0.15814824963117899</v>
      </c>
      <c r="M60" s="1">
        <v>262.55906585400498</v>
      </c>
      <c r="N60" s="1">
        <v>212.33171650853399</v>
      </c>
    </row>
    <row r="61" spans="1:14" x14ac:dyDescent="0.25">
      <c r="A61" s="1">
        <v>50</v>
      </c>
      <c r="B61" s="4">
        <v>1.36846952968255E-3</v>
      </c>
      <c r="C61" s="1">
        <v>0.82211042400895196</v>
      </c>
      <c r="D61" s="1">
        <v>4.9235602252774502</v>
      </c>
      <c r="F61" s="1">
        <v>50</v>
      </c>
      <c r="G61" s="4">
        <v>2.28391819598197E-3</v>
      </c>
      <c r="H61" s="1">
        <v>27.784764629618</v>
      </c>
      <c r="I61" s="1">
        <v>34.266428888073499</v>
      </c>
      <c r="K61" s="1">
        <v>50</v>
      </c>
      <c r="L61" s="4">
        <v>0.130541576012183</v>
      </c>
      <c r="M61" s="1">
        <v>249.28197616918001</v>
      </c>
      <c r="N61" s="1">
        <v>234.68105403331401</v>
      </c>
    </row>
    <row r="62" spans="1:14" x14ac:dyDescent="0.25">
      <c r="A62" s="3" t="s">
        <v>5</v>
      </c>
      <c r="B62" s="1">
        <f>AVERAGE(B12:B61)</f>
        <v>9.9791606475971794E-4</v>
      </c>
      <c r="C62" s="1">
        <f t="shared" ref="C62:D62" si="0">AVERAGE(C12:C61)</f>
        <v>1.397391030720829</v>
      </c>
      <c r="D62" s="1">
        <f t="shared" si="0"/>
        <v>4.3659866635716282</v>
      </c>
      <c r="F62" s="3" t="s">
        <v>5</v>
      </c>
      <c r="G62" s="1">
        <f>AVERAGE(G12:G61)</f>
        <v>2.754531782694079E-3</v>
      </c>
      <c r="H62" s="1">
        <f t="shared" ref="H62:I62" si="1">AVERAGE(H12:H61)</f>
        <v>38.281828177186448</v>
      </c>
      <c r="I62" s="1">
        <f t="shared" si="1"/>
        <v>40.404773170454085</v>
      </c>
      <c r="K62" s="3" t="s">
        <v>5</v>
      </c>
      <c r="L62" s="1">
        <f>AVERAGE(L12:L61)</f>
        <v>0.12073023279146819</v>
      </c>
      <c r="M62" s="1">
        <f t="shared" ref="M62:N62" si="2">AVERAGE(M12:M61)</f>
        <v>256.75169699532114</v>
      </c>
      <c r="N62" s="1">
        <f t="shared" si="2"/>
        <v>239.96537467421905</v>
      </c>
    </row>
    <row r="63" spans="1:14" x14ac:dyDescent="0.25">
      <c r="A63" s="3" t="s">
        <v>17</v>
      </c>
      <c r="B63" s="4">
        <f>MEDIAN(B12:B61)</f>
        <v>9.7193059330804351E-4</v>
      </c>
      <c r="C63" s="4">
        <f t="shared" ref="C63:D63" si="3">MEDIAN(C12:C61)</f>
        <v>0.77841962526167707</v>
      </c>
      <c r="D63" s="4">
        <f t="shared" si="3"/>
        <v>4.8564120520828045</v>
      </c>
      <c r="F63" s="3" t="s">
        <v>17</v>
      </c>
      <c r="G63" s="4">
        <f>MEDIAN(G12:G61)</f>
        <v>2.6902313946615751E-3</v>
      </c>
      <c r="H63" s="4">
        <f t="shared" ref="H63:I63" si="4">MEDIAN(H12:H61)</f>
        <v>28.181683329032452</v>
      </c>
      <c r="I63" s="4">
        <f t="shared" si="4"/>
        <v>39.985367847699095</v>
      </c>
      <c r="K63" s="3" t="s">
        <v>17</v>
      </c>
      <c r="L63" s="4">
        <f>MEDIAN(L12:L61)</f>
        <v>0.11974702999704151</v>
      </c>
      <c r="M63" s="4">
        <f t="shared" ref="M63:N63" si="5">MEDIAN(M12:M61)</f>
        <v>248.7409327817245</v>
      </c>
      <c r="N63" s="4">
        <f t="shared" si="5"/>
        <v>235.84579283574902</v>
      </c>
    </row>
    <row r="64" spans="1:14" x14ac:dyDescent="0.25">
      <c r="A64" s="3" t="s">
        <v>36</v>
      </c>
      <c r="B64" s="1">
        <f>_xlfn.VAR.S(B12:B61)</f>
        <v>2.2079817278325685E-7</v>
      </c>
      <c r="C64" s="1">
        <f t="shared" ref="C64:D64" si="6">_xlfn.VAR.S(C12:C61)</f>
        <v>2.2127515714694925</v>
      </c>
      <c r="D64" s="1">
        <f t="shared" si="6"/>
        <v>3.0075650728662002</v>
      </c>
      <c r="F64" s="3" t="s">
        <v>36</v>
      </c>
      <c r="G64" s="1">
        <f>_xlfn.VAR.S(G12:G61)</f>
        <v>3.1696720008723123E-7</v>
      </c>
      <c r="H64" s="1">
        <f t="shared" ref="H64:I64" si="7">_xlfn.VAR.S(H12:H61)</f>
        <v>463.97540215849733</v>
      </c>
      <c r="I64" s="1">
        <f t="shared" si="7"/>
        <v>81.127061094272037</v>
      </c>
      <c r="K64" s="3" t="s">
        <v>36</v>
      </c>
      <c r="L64" s="1">
        <f>_xlfn.VAR.S(L12:L61)</f>
        <v>2.7895663618505957E-4</v>
      </c>
      <c r="M64" s="1">
        <f t="shared" ref="M64:N64" si="8">_xlfn.VAR.S(M12:M61)</f>
        <v>4669.679030631346</v>
      </c>
      <c r="N64" s="1">
        <f t="shared" si="8"/>
        <v>989.34105939620497</v>
      </c>
    </row>
  </sheetData>
  <mergeCells count="6">
    <mergeCell ref="K10:L10"/>
    <mergeCell ref="M10:N10"/>
    <mergeCell ref="A10:B10"/>
    <mergeCell ref="C10:D10"/>
    <mergeCell ref="F10:G10"/>
    <mergeCell ref="H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256E-7CD5-4E34-93C5-CB448AD7CF88}">
  <dimension ref="A1:W61"/>
  <sheetViews>
    <sheetView tabSelected="1" topLeftCell="A19" zoomScale="115" zoomScaleNormal="115" workbookViewId="0">
      <selection activeCell="Q62" sqref="Q62"/>
    </sheetView>
  </sheetViews>
  <sheetFormatPr defaultRowHeight="15" x14ac:dyDescent="0.25"/>
  <cols>
    <col min="1" max="2" width="10.7109375" bestFit="1" customWidth="1"/>
    <col min="3" max="3" width="11.7109375" bestFit="1" customWidth="1"/>
    <col min="4" max="4" width="9.28515625" bestFit="1" customWidth="1"/>
    <col min="7" max="8" width="11.42578125" bestFit="1" customWidth="1"/>
    <col min="12" max="12" width="10.5703125" customWidth="1"/>
    <col min="13" max="13" width="17" bestFit="1" customWidth="1"/>
    <col min="14" max="14" width="10.42578125" bestFit="1" customWidth="1"/>
    <col min="19" max="19" width="19.140625" bestFit="1" customWidth="1"/>
    <col min="20" max="20" width="10.7109375" bestFit="1" customWidth="1"/>
    <col min="21" max="21" width="9.140625" customWidth="1"/>
  </cols>
  <sheetData>
    <row r="1" spans="1:14" x14ac:dyDescent="0.25">
      <c r="A1" t="s">
        <v>34</v>
      </c>
      <c r="F1" t="s">
        <v>35</v>
      </c>
      <c r="K1" t="s">
        <v>37</v>
      </c>
    </row>
    <row r="2" spans="1:14" x14ac:dyDescent="0.25">
      <c r="A2" s="21" t="s">
        <v>31</v>
      </c>
      <c r="B2" s="21"/>
      <c r="C2" s="21"/>
      <c r="D2" s="21"/>
      <c r="F2" s="21" t="s">
        <v>31</v>
      </c>
      <c r="G2" s="21"/>
      <c r="H2" s="21"/>
      <c r="I2" s="21"/>
      <c r="K2" s="21" t="s">
        <v>31</v>
      </c>
      <c r="L2" s="21"/>
      <c r="M2" s="21"/>
      <c r="N2" s="21"/>
    </row>
    <row r="3" spans="1:14" x14ac:dyDescent="0.25">
      <c r="A3" s="10" t="s">
        <v>29</v>
      </c>
      <c r="B3" s="10" t="s">
        <v>1</v>
      </c>
      <c r="C3" s="10" t="s">
        <v>2</v>
      </c>
      <c r="D3" s="10" t="s">
        <v>3</v>
      </c>
      <c r="F3" s="10" t="s">
        <v>29</v>
      </c>
      <c r="G3" s="10" t="s">
        <v>1</v>
      </c>
      <c r="H3" s="10" t="s">
        <v>2</v>
      </c>
      <c r="I3" s="10" t="s">
        <v>3</v>
      </c>
      <c r="K3" s="10" t="s">
        <v>29</v>
      </c>
      <c r="L3" s="10" t="s">
        <v>1</v>
      </c>
      <c r="M3" s="10" t="s">
        <v>2</v>
      </c>
      <c r="N3" s="10" t="s">
        <v>3</v>
      </c>
    </row>
    <row r="4" spans="1:14" x14ac:dyDescent="0.25">
      <c r="A4" s="11" t="s">
        <v>0</v>
      </c>
      <c r="B4" s="12">
        <f>GA!B57</f>
        <v>1.200028278465405E-28</v>
      </c>
      <c r="C4" s="14">
        <f>GA!C57</f>
        <v>0.33267242260379298</v>
      </c>
      <c r="D4" s="14">
        <f>GA!D57</f>
        <v>1.98617015566667</v>
      </c>
      <c r="F4" s="11" t="s">
        <v>0</v>
      </c>
      <c r="G4" s="12">
        <f>GA!B56</f>
        <v>3.0380140481762369E-25</v>
      </c>
      <c r="H4" s="14">
        <f>GA!C56</f>
        <v>0.48835395832615019</v>
      </c>
      <c r="I4" s="14">
        <f>GA!D56</f>
        <v>2.3850667249072379</v>
      </c>
      <c r="K4" s="11" t="s">
        <v>0</v>
      </c>
      <c r="L4" s="12">
        <f>GA!B58</f>
        <v>3.1989717666162792E-48</v>
      </c>
      <c r="M4" s="14">
        <f>GA!C58</f>
        <v>0.23731537956578175</v>
      </c>
      <c r="N4" s="14">
        <f>GA!D58</f>
        <v>0.66603109253083648</v>
      </c>
    </row>
    <row r="5" spans="1:14" x14ac:dyDescent="0.25">
      <c r="A5" s="11" t="s">
        <v>6</v>
      </c>
      <c r="B5" s="12">
        <f>PSO!B57</f>
        <v>1.0742145444548551E-62</v>
      </c>
      <c r="C5" s="14">
        <f>PSO!C57</f>
        <v>0.21569733618300702</v>
      </c>
      <c r="D5" s="14">
        <f>PSO!D57</f>
        <v>3.4108007600972701</v>
      </c>
      <c r="F5" s="11" t="s">
        <v>6</v>
      </c>
      <c r="G5" s="12">
        <f>PSO!B56</f>
        <v>4.7161548958566513E-61</v>
      </c>
      <c r="H5" s="14">
        <f>PSO!C56</f>
        <v>0.72572727401930193</v>
      </c>
      <c r="I5" s="14">
        <f>PSO!D56</f>
        <v>2.8979339070478418</v>
      </c>
      <c r="K5" s="11" t="s">
        <v>6</v>
      </c>
      <c r="L5" s="12">
        <f>PSO!B58</f>
        <v>3.362539240025236E-120</v>
      </c>
      <c r="M5" s="14">
        <f>PSO!C58</f>
        <v>1.8276016715982828</v>
      </c>
      <c r="N5" s="14">
        <f>PSO!D58</f>
        <v>0.97419490458439761</v>
      </c>
    </row>
    <row r="6" spans="1:14" x14ac:dyDescent="0.25">
      <c r="A6" s="11" t="s">
        <v>8</v>
      </c>
      <c r="B6" s="12">
        <f>FIPS!B57</f>
        <v>4.48017730239914E-39</v>
      </c>
      <c r="C6" s="14">
        <f>FIPS!C57</f>
        <v>2.6340160269666399</v>
      </c>
      <c r="D6" s="14">
        <f>FIPS!D57</f>
        <v>1.98617015566667</v>
      </c>
      <c r="F6" s="11" t="s">
        <v>8</v>
      </c>
      <c r="G6" s="12">
        <f>FIPS!B56</f>
        <v>5.4595192719450382E-39</v>
      </c>
      <c r="H6" s="14">
        <f>FIPS!C56</f>
        <v>2.5563755129218269</v>
      </c>
      <c r="I6" s="14">
        <f>FIPS!D56</f>
        <v>2.3546293880095601</v>
      </c>
      <c r="K6" s="11" t="s">
        <v>8</v>
      </c>
      <c r="L6" s="12">
        <f>FIPS!B58</f>
        <v>1.3157213397159476E-77</v>
      </c>
      <c r="M6" s="14">
        <f>FIPS!C58</f>
        <v>8.2526704942206291E-2</v>
      </c>
      <c r="N6" s="14">
        <f>FIPS!D58</f>
        <v>0.56014333158892249</v>
      </c>
    </row>
    <row r="7" spans="1:14" x14ac:dyDescent="0.25">
      <c r="A7" s="11" t="s">
        <v>7</v>
      </c>
      <c r="B7" s="12">
        <f>Hybrid_PSO!B58</f>
        <v>3.4150576388161951E-62</v>
      </c>
      <c r="C7" s="14">
        <f>Hybrid_PSO!C58</f>
        <v>0.2634299649248365</v>
      </c>
      <c r="D7" s="14">
        <f>Hybrid_PSO!D58</f>
        <v>3.4108007600972701</v>
      </c>
      <c r="F7" s="11" t="s">
        <v>7</v>
      </c>
      <c r="G7" s="12">
        <f>Hybrid_PSO!B57</f>
        <v>4.1558946314057888E-61</v>
      </c>
      <c r="H7" s="14">
        <f>Hybrid_PSO!C57</f>
        <v>0.82037958510955977</v>
      </c>
      <c r="I7" s="14">
        <f>Hybrid_PSO!D57</f>
        <v>3.8951751656036726</v>
      </c>
      <c r="K7" s="11" t="s">
        <v>7</v>
      </c>
      <c r="L7" s="12">
        <f>Hybrid_PSO!B59</f>
        <v>1.5955849221685581E-120</v>
      </c>
      <c r="M7" s="14">
        <f>Hybrid_PSO!C59</f>
        <v>2.0247659617031974</v>
      </c>
      <c r="N7" s="14">
        <f>Hybrid_PSO!D59</f>
        <v>2.2043641010256243</v>
      </c>
    </row>
    <row r="8" spans="1:14" x14ac:dyDescent="0.25">
      <c r="A8" s="11" t="s">
        <v>30</v>
      </c>
      <c r="B8" s="12">
        <f>'GA-Boids'!B63</f>
        <v>9.7193059330804351E-4</v>
      </c>
      <c r="C8" s="14">
        <f>'GA-Boids'!C63</f>
        <v>0.77841962526167707</v>
      </c>
      <c r="D8" s="14">
        <f>'GA-Boids'!D63</f>
        <v>4.8564120520828045</v>
      </c>
      <c r="F8" s="11" t="s">
        <v>30</v>
      </c>
      <c r="G8" s="12">
        <f>'GA-Boids'!B62</f>
        <v>9.9791606475971794E-4</v>
      </c>
      <c r="H8" s="14">
        <f>'GA-Boids'!C62</f>
        <v>1.397391030720829</v>
      </c>
      <c r="I8" s="14">
        <f>'GA-Boids'!D62</f>
        <v>4.3659866635716282</v>
      </c>
      <c r="K8" s="11" t="s">
        <v>30</v>
      </c>
      <c r="L8" s="12">
        <f>'GA-Boids'!B64</f>
        <v>2.2079817278325685E-7</v>
      </c>
      <c r="M8" s="14">
        <f>'GA-Boids'!C64</f>
        <v>2.2127515714694925</v>
      </c>
      <c r="N8" s="14">
        <f>'GA-Boids'!D64</f>
        <v>3.0075650728662002</v>
      </c>
    </row>
    <row r="12" spans="1:14" x14ac:dyDescent="0.25">
      <c r="A12" s="21" t="s">
        <v>32</v>
      </c>
      <c r="B12" s="21"/>
      <c r="C12" s="21"/>
      <c r="D12" s="21"/>
      <c r="F12" s="21" t="s">
        <v>32</v>
      </c>
      <c r="G12" s="21"/>
      <c r="H12" s="21"/>
      <c r="I12" s="21"/>
      <c r="K12" s="21" t="s">
        <v>32</v>
      </c>
      <c r="L12" s="21"/>
      <c r="M12" s="21"/>
      <c r="N12" s="21"/>
    </row>
    <row r="13" spans="1:14" x14ac:dyDescent="0.25">
      <c r="A13" s="10" t="s">
        <v>29</v>
      </c>
      <c r="B13" s="10" t="s">
        <v>1</v>
      </c>
      <c r="C13" s="10" t="s">
        <v>2</v>
      </c>
      <c r="D13" s="10" t="s">
        <v>3</v>
      </c>
      <c r="F13" s="10" t="s">
        <v>29</v>
      </c>
      <c r="G13" s="10" t="s">
        <v>1</v>
      </c>
      <c r="H13" s="10" t="s">
        <v>2</v>
      </c>
      <c r="I13" s="10" t="s">
        <v>3</v>
      </c>
      <c r="K13" s="10" t="s">
        <v>29</v>
      </c>
      <c r="L13" s="10" t="s">
        <v>1</v>
      </c>
      <c r="M13" s="10" t="s">
        <v>2</v>
      </c>
      <c r="N13" s="10" t="s">
        <v>3</v>
      </c>
    </row>
    <row r="14" spans="1:14" x14ac:dyDescent="0.25">
      <c r="A14" s="11" t="s">
        <v>0</v>
      </c>
      <c r="B14" s="12">
        <f>GA!G57</f>
        <v>6.5182041404284548E-4</v>
      </c>
      <c r="C14" s="14">
        <f>GA!H57</f>
        <v>109.3205162082655</v>
      </c>
      <c r="D14" s="14">
        <f>GA!I57</f>
        <v>22.638740704516501</v>
      </c>
      <c r="F14" s="11" t="s">
        <v>0</v>
      </c>
      <c r="G14" s="12">
        <f>GA!G56</f>
        <v>0.5542947504407536</v>
      </c>
      <c r="H14" s="14">
        <f>GA!H56</f>
        <v>648.96257643137812</v>
      </c>
      <c r="I14" s="14">
        <f>GA!I56</f>
        <v>25.820841451237797</v>
      </c>
      <c r="K14" s="11" t="s">
        <v>0</v>
      </c>
      <c r="L14" s="12">
        <f>GA!G58</f>
        <v>2.7552200150511492</v>
      </c>
      <c r="M14" s="14">
        <f>GA!H58</f>
        <v>10446323.843736859</v>
      </c>
      <c r="N14" s="14">
        <f>GA!I58</f>
        <v>69.437994310529888</v>
      </c>
    </row>
    <row r="15" spans="1:14" x14ac:dyDescent="0.25">
      <c r="A15" s="11" t="s">
        <v>6</v>
      </c>
      <c r="B15" s="12">
        <f>PSO!G57</f>
        <v>3.3489697252935351E-11</v>
      </c>
      <c r="C15" s="14">
        <f>PSO!H57</f>
        <v>25.650196179497648</v>
      </c>
      <c r="D15" s="14">
        <f>PSO!I57</f>
        <v>38.995398376132655</v>
      </c>
      <c r="F15" s="11" t="s">
        <v>6</v>
      </c>
      <c r="G15" s="12">
        <f>PSO!G56</f>
        <v>2.8487904391706897E-9</v>
      </c>
      <c r="H15" s="14">
        <f>PSO!H56</f>
        <v>33.009459886559178</v>
      </c>
      <c r="I15" s="14">
        <f>PSO!I56</f>
        <v>40.833394718544412</v>
      </c>
      <c r="K15" s="11" t="s">
        <v>6</v>
      </c>
      <c r="L15" s="12">
        <f>PSO!G58</f>
        <v>2.22744003308993E-16</v>
      </c>
      <c r="M15" s="14">
        <f>PSO!H58</f>
        <v>348.72146383982124</v>
      </c>
      <c r="N15" s="14">
        <f>PSO!I58</f>
        <v>173.79929813718167</v>
      </c>
    </row>
    <row r="16" spans="1:14" x14ac:dyDescent="0.25">
      <c r="A16" s="11" t="s">
        <v>8</v>
      </c>
      <c r="B16" s="12">
        <f>FIPS!G57</f>
        <v>3.3324755528624651E-13</v>
      </c>
      <c r="C16" s="14">
        <f>FIPS!H57</f>
        <v>28.438655983683198</v>
      </c>
      <c r="D16" s="14">
        <f>FIPS!I57</f>
        <v>16.190913230290551</v>
      </c>
      <c r="F16" s="11" t="s">
        <v>8</v>
      </c>
      <c r="G16" s="12">
        <f>FIPS!G56</f>
        <v>2.0982723999220689E-6</v>
      </c>
      <c r="H16" s="14">
        <f>FIPS!H56</f>
        <v>28.394975404416286</v>
      </c>
      <c r="I16" s="14">
        <f>FIPS!I56</f>
        <v>16.133928185410003</v>
      </c>
      <c r="K16" s="11" t="s">
        <v>8</v>
      </c>
      <c r="L16" s="12">
        <f>FIPS!G58</f>
        <v>2.1096432256298444E-10</v>
      </c>
      <c r="M16" s="14">
        <f>FIPS!H58</f>
        <v>0.11182011190829264</v>
      </c>
      <c r="N16" s="14">
        <f>FIPS!I58</f>
        <v>5.2984271977773609</v>
      </c>
    </row>
    <row r="17" spans="1:23" x14ac:dyDescent="0.25">
      <c r="A17" s="11" t="s">
        <v>7</v>
      </c>
      <c r="B17" s="12">
        <f>Hybrid_PSO!G58</f>
        <v>4.3306515709922644E-11</v>
      </c>
      <c r="C17" s="14">
        <f>Hybrid_PSO!H58</f>
        <v>25.437643196655152</v>
      </c>
      <c r="D17" s="14">
        <f>Hybrid_PSO!I58</f>
        <v>38.473003862309497</v>
      </c>
      <c r="F17" s="11" t="s">
        <v>7</v>
      </c>
      <c r="G17" s="12">
        <f>Hybrid_PSO!G57</f>
        <v>1.9371122974282769E-7</v>
      </c>
      <c r="H17" s="14">
        <f>Hybrid_PSO!H57</f>
        <v>32.39091890964955</v>
      </c>
      <c r="I17" s="14">
        <f>Hybrid_PSO!I57</f>
        <v>39.753332565990632</v>
      </c>
      <c r="K17" s="11" t="s">
        <v>7</v>
      </c>
      <c r="L17" s="12">
        <f>Hybrid_PSO!G59</f>
        <v>1.3343231756462729E-12</v>
      </c>
      <c r="M17" s="14">
        <f>Hybrid_PSO!H59</f>
        <v>373.62885117968585</v>
      </c>
      <c r="N17" s="14">
        <f>Hybrid_PSO!I59</f>
        <v>103.49626239469306</v>
      </c>
    </row>
    <row r="18" spans="1:23" x14ac:dyDescent="0.25">
      <c r="A18" s="11" t="s">
        <v>30</v>
      </c>
      <c r="B18" s="12">
        <f>'GA-Boids'!G63</f>
        <v>2.6902313946615751E-3</v>
      </c>
      <c r="C18" s="14">
        <f>'GA-Boids'!H63</f>
        <v>28.181683329032452</v>
      </c>
      <c r="D18" s="14">
        <f>'GA-Boids'!I63</f>
        <v>39.985367847699095</v>
      </c>
      <c r="F18" s="11" t="s">
        <v>30</v>
      </c>
      <c r="G18" s="12">
        <f>'GA-Boids'!G62</f>
        <v>2.754531782694079E-3</v>
      </c>
      <c r="H18" s="14">
        <f>'GA-Boids'!H62</f>
        <v>38.281828177186448</v>
      </c>
      <c r="I18" s="14">
        <f>'GA-Boids'!I62</f>
        <v>40.404773170454085</v>
      </c>
      <c r="K18" s="11" t="s">
        <v>30</v>
      </c>
      <c r="L18" s="12">
        <f>'GA-Boids'!G64</f>
        <v>3.1696720008723123E-7</v>
      </c>
      <c r="M18" s="14">
        <f>'GA-Boids'!H64</f>
        <v>463.97540215849733</v>
      </c>
      <c r="N18" s="14">
        <f>'GA-Boids'!I64</f>
        <v>81.127061094272037</v>
      </c>
    </row>
    <row r="22" spans="1:23" x14ac:dyDescent="0.25">
      <c r="A22" s="21" t="s">
        <v>33</v>
      </c>
      <c r="B22" s="21"/>
      <c r="C22" s="21"/>
      <c r="D22" s="21"/>
      <c r="F22" s="21" t="s">
        <v>33</v>
      </c>
      <c r="G22" s="21"/>
      <c r="H22" s="21"/>
      <c r="I22" s="21"/>
      <c r="K22" s="21" t="s">
        <v>33</v>
      </c>
      <c r="L22" s="21"/>
      <c r="M22" s="21"/>
      <c r="N22" s="21"/>
    </row>
    <row r="23" spans="1:23" x14ac:dyDescent="0.25">
      <c r="A23" s="10" t="s">
        <v>29</v>
      </c>
      <c r="B23" s="10" t="s">
        <v>1</v>
      </c>
      <c r="C23" s="10" t="s">
        <v>2</v>
      </c>
      <c r="D23" s="10" t="s">
        <v>3</v>
      </c>
      <c r="F23" s="10" t="s">
        <v>29</v>
      </c>
      <c r="G23" s="10" t="s">
        <v>1</v>
      </c>
      <c r="H23" s="10" t="s">
        <v>2</v>
      </c>
      <c r="I23" s="10" t="s">
        <v>3</v>
      </c>
      <c r="K23" s="10" t="s">
        <v>29</v>
      </c>
      <c r="L23" s="10" t="s">
        <v>1</v>
      </c>
      <c r="M23" s="10" t="s">
        <v>2</v>
      </c>
      <c r="N23" s="10" t="s">
        <v>3</v>
      </c>
    </row>
    <row r="24" spans="1:23" x14ac:dyDescent="0.25">
      <c r="A24" s="11" t="s">
        <v>0</v>
      </c>
      <c r="B24" s="14">
        <f>GA!L57</f>
        <v>112.0257926241745</v>
      </c>
      <c r="C24" s="14">
        <f>PSO!M57</f>
        <v>371.923057969382</v>
      </c>
      <c r="D24" s="14">
        <f>GA!N57</f>
        <v>512.158589615854</v>
      </c>
      <c r="F24" s="11" t="s">
        <v>0</v>
      </c>
      <c r="G24" s="14">
        <f>GA!L56</f>
        <v>115.15321713412473</v>
      </c>
      <c r="H24" s="14">
        <f>GA!M56</f>
        <v>90177.61952753611</v>
      </c>
      <c r="I24" s="14">
        <f>GA!N56</f>
        <v>524.19524492582741</v>
      </c>
      <c r="K24" s="11" t="s">
        <v>0</v>
      </c>
      <c r="L24" s="14">
        <f>GA!L58</f>
        <v>1949.7272481419602</v>
      </c>
      <c r="M24" s="14">
        <f>GA!M58</f>
        <v>1961310522.6423576</v>
      </c>
      <c r="N24" s="14">
        <f>GA!N58</f>
        <v>6629.6156155413055</v>
      </c>
    </row>
    <row r="25" spans="1:23" x14ac:dyDescent="0.25">
      <c r="A25" s="11" t="s">
        <v>6</v>
      </c>
      <c r="B25" s="14">
        <f>PSO!L57</f>
        <v>0.28323365721410149</v>
      </c>
      <c r="C25" s="14">
        <f>PSO!M57</f>
        <v>371.923057969382</v>
      </c>
      <c r="D25" s="14">
        <f>PSO!N57</f>
        <v>165.52054829745748</v>
      </c>
      <c r="F25" s="11" t="s">
        <v>6</v>
      </c>
      <c r="G25" s="14">
        <f>PSO!L56</f>
        <v>0.81224452254281443</v>
      </c>
      <c r="H25" s="14">
        <f>PSO!M56</f>
        <v>464.22507649581303</v>
      </c>
      <c r="I25" s="14">
        <f>PSO!N56</f>
        <v>163.18460812154169</v>
      </c>
      <c r="K25" s="11" t="s">
        <v>6</v>
      </c>
      <c r="L25" s="14">
        <f>PSO!L58</f>
        <v>5.1716958432758426</v>
      </c>
      <c r="M25" s="14">
        <f>PSO!M58</f>
        <v>249121.58767028153</v>
      </c>
      <c r="N25" s="14">
        <f>PSO!N58</f>
        <v>512.81241267621613</v>
      </c>
    </row>
    <row r="26" spans="1:23" x14ac:dyDescent="0.25">
      <c r="A26" s="11" t="s">
        <v>8</v>
      </c>
      <c r="B26" s="14">
        <f>FIPS!L57</f>
        <v>0.27869535005130297</v>
      </c>
      <c r="C26" s="14">
        <f>FIPS!M57</f>
        <v>131.28277491165301</v>
      </c>
      <c r="D26" s="14">
        <f>FIPS!N57</f>
        <v>59.686564877577851</v>
      </c>
      <c r="F26" s="11" t="s">
        <v>8</v>
      </c>
      <c r="G26" s="14">
        <f>FIPS!L56</f>
        <v>0.28320497109534587</v>
      </c>
      <c r="H26" s="14">
        <f>FIPS!M56</f>
        <v>131.75683198535248</v>
      </c>
      <c r="I26" s="14">
        <f>FIPS!N56</f>
        <v>59.320708117506712</v>
      </c>
      <c r="K26" s="11" t="s">
        <v>8</v>
      </c>
      <c r="L26" s="14">
        <f>FIPS!L58</f>
        <v>5.2481506750097669E-3</v>
      </c>
      <c r="M26" s="14">
        <f>FIPS!M58</f>
        <v>98.603644573497917</v>
      </c>
      <c r="N26" s="14">
        <f>FIPS!N58</f>
        <v>31.749139901248029</v>
      </c>
    </row>
    <row r="27" spans="1:23" x14ac:dyDescent="0.25">
      <c r="A27" s="11" t="s">
        <v>7</v>
      </c>
      <c r="B27" s="14">
        <f>Hybrid_PSO!L58</f>
        <v>0.235313465808346</v>
      </c>
      <c r="C27" s="14">
        <f>Hybrid_PSO!M58</f>
        <v>357.45755195852246</v>
      </c>
      <c r="D27" s="14">
        <f>Hybrid_PSO!N58</f>
        <v>263.31275781034799</v>
      </c>
      <c r="F27" s="11" t="s">
        <v>7</v>
      </c>
      <c r="G27" s="14">
        <f>Hybrid_PSO!L57</f>
        <v>1.0292377156907084</v>
      </c>
      <c r="H27" s="14">
        <f>Hybrid_PSO!M57</f>
        <v>373.59869757279745</v>
      </c>
      <c r="I27" s="14">
        <f>Hybrid_PSO!N57</f>
        <v>258.5049957359513</v>
      </c>
      <c r="K27" s="11" t="s">
        <v>7</v>
      </c>
      <c r="L27" s="14">
        <f>Hybrid_PSO!L59</f>
        <v>5.9835742165561001</v>
      </c>
      <c r="M27" s="14">
        <f>Hybrid_PSO!M59</f>
        <v>12063.019906927528</v>
      </c>
      <c r="N27" s="14">
        <f>Hybrid_PSO!N59</f>
        <v>1394.5013772883756</v>
      </c>
    </row>
    <row r="28" spans="1:23" x14ac:dyDescent="0.25">
      <c r="A28" s="11" t="s">
        <v>30</v>
      </c>
      <c r="B28" s="14">
        <f>'GA-Boids'!L63</f>
        <v>0.11974702999704151</v>
      </c>
      <c r="C28" s="14">
        <f>'GA-Boids'!M63</f>
        <v>248.7409327817245</v>
      </c>
      <c r="D28" s="14">
        <f>'GA-Boids'!N63</f>
        <v>235.84579283574902</v>
      </c>
      <c r="F28" s="11" t="s">
        <v>30</v>
      </c>
      <c r="G28" s="14">
        <f>'GA-Boids'!L62</f>
        <v>0.12073023279146819</v>
      </c>
      <c r="H28" s="14">
        <f>'GA-Boids'!M62</f>
        <v>256.75169699532114</v>
      </c>
      <c r="I28" s="14">
        <f>'GA-Boids'!N62</f>
        <v>239.96537467421905</v>
      </c>
      <c r="K28" s="11" t="s">
        <v>30</v>
      </c>
      <c r="L28" s="14">
        <f>'GA-Boids'!L64</f>
        <v>2.7895663618505957E-4</v>
      </c>
      <c r="M28" s="14">
        <f>'GA-Boids'!M64</f>
        <v>4669.679030631346</v>
      </c>
      <c r="N28" s="14">
        <f>'GA-Boids'!N64</f>
        <v>989.34105939620497</v>
      </c>
    </row>
    <row r="31" spans="1:23" x14ac:dyDescent="0.25">
      <c r="A31" t="s">
        <v>38</v>
      </c>
      <c r="G31" t="s">
        <v>39</v>
      </c>
      <c r="M31" t="s">
        <v>41</v>
      </c>
    </row>
    <row r="32" spans="1:23" x14ac:dyDescent="0.25">
      <c r="A32" s="17" t="s">
        <v>40</v>
      </c>
      <c r="B32" s="16" t="s">
        <v>29</v>
      </c>
      <c r="C32" s="16" t="s">
        <v>31</v>
      </c>
      <c r="D32" s="16" t="s">
        <v>32</v>
      </c>
      <c r="E32" s="16" t="s">
        <v>33</v>
      </c>
      <c r="G32" s="17" t="s">
        <v>39</v>
      </c>
      <c r="H32" s="16" t="s">
        <v>29</v>
      </c>
      <c r="I32" s="16" t="s">
        <v>31</v>
      </c>
      <c r="J32" s="16" t="s">
        <v>32</v>
      </c>
      <c r="K32" s="16" t="s">
        <v>33</v>
      </c>
      <c r="M32" s="17" t="s">
        <v>44</v>
      </c>
      <c r="N32" s="16" t="s">
        <v>29</v>
      </c>
      <c r="O32" s="16" t="s">
        <v>31</v>
      </c>
      <c r="P32" s="16" t="s">
        <v>32</v>
      </c>
      <c r="Q32" s="16" t="s">
        <v>33</v>
      </c>
      <c r="S32" s="17" t="s">
        <v>42</v>
      </c>
      <c r="T32" s="16" t="s">
        <v>29</v>
      </c>
      <c r="U32" s="16" t="s">
        <v>31</v>
      </c>
      <c r="V32" s="16" t="s">
        <v>32</v>
      </c>
      <c r="W32" s="16" t="s">
        <v>33</v>
      </c>
    </row>
    <row r="33" spans="1:23" x14ac:dyDescent="0.25">
      <c r="A33" s="20" t="s">
        <v>1</v>
      </c>
      <c r="B33" s="13" t="s">
        <v>0</v>
      </c>
      <c r="C33" s="15">
        <f>($G$8-G4)/(SQRT(($L$8/50)+(L4/50)))</f>
        <v>15.016934231495298</v>
      </c>
      <c r="D33" s="15">
        <f>($G$18-G14)/(SQRT(($L$18/50)+(L14/50)))</f>
        <v>-2.3495463767308262</v>
      </c>
      <c r="E33" s="15">
        <f>($G$28-G24)/(SQRT(($L$28/50)+(L24/50)))</f>
        <v>-18.421226796262115</v>
      </c>
      <c r="G33" s="20" t="s">
        <v>1</v>
      </c>
      <c r="H33" s="13" t="s">
        <v>0</v>
      </c>
      <c r="I33" s="15">
        <f>49*(($L$8+L4)^2)/($L$8^2+L4^2)</f>
        <v>48.999999999999993</v>
      </c>
      <c r="J33" s="15">
        <f>49*(($L$18+L14)^2)/($L$18^2+L14^2)</f>
        <v>49.000011274157941</v>
      </c>
      <c r="K33" s="15">
        <f>49*(($L$28+L24)^2)/($L$28^2+L24^2)</f>
        <v>49.000014021320361</v>
      </c>
      <c r="M33" s="20" t="s">
        <v>1</v>
      </c>
      <c r="N33" s="13" t="s">
        <v>0</v>
      </c>
      <c r="O33" s="15">
        <v>0</v>
      </c>
      <c r="P33" s="15">
        <v>2.2800000000000001E-2</v>
      </c>
      <c r="Q33" s="15">
        <v>0</v>
      </c>
      <c r="S33" s="20" t="s">
        <v>1</v>
      </c>
      <c r="T33" s="13" t="s">
        <v>0</v>
      </c>
      <c r="U33" s="15" t="b">
        <f>IF(O33&gt;=0.05, FALSE, TRUE)</f>
        <v>1</v>
      </c>
      <c r="V33" s="15" t="b">
        <f t="shared" ref="V33:W44" si="0">IF(P33&gt;=0.05, FALSE, TRUE)</f>
        <v>1</v>
      </c>
      <c r="W33" s="15" t="b">
        <f t="shared" si="0"/>
        <v>1</v>
      </c>
    </row>
    <row r="34" spans="1:23" x14ac:dyDescent="0.25">
      <c r="A34" s="20"/>
      <c r="B34" s="13" t="s">
        <v>6</v>
      </c>
      <c r="C34" s="15">
        <f>($G$8-G5)/(SQRT(($L$8/50)+(L5/50)))</f>
        <v>15.016934231495298</v>
      </c>
      <c r="D34" s="15">
        <f t="shared" ref="D34:D36" si="1">($G$18-G15)/(SQRT(($L$18/50)+(L15/50)))</f>
        <v>34.595943474747592</v>
      </c>
      <c r="E34" s="15">
        <f t="shared" ref="E34:E36" si="2">($G$28-G25)/(SQRT(($L$28/50)+(L25/50)))</f>
        <v>-2.1500965438306956</v>
      </c>
      <c r="G34" s="20"/>
      <c r="H34" s="13" t="s">
        <v>6</v>
      </c>
      <c r="I34" s="15">
        <f>49*(($L$8+L5)^2)/($L$8^2+L5^2)</f>
        <v>48.999999999999993</v>
      </c>
      <c r="J34" s="15">
        <f t="shared" ref="J34:J36" si="3">49*(($L$18+L15)^2)/($L$18^2+L15^2)</f>
        <v>49.000000068868047</v>
      </c>
      <c r="K34" s="15">
        <f t="shared" ref="K34:K36" si="4">49*(($L$28+L25)^2)/($L$28^2+L25^2)</f>
        <v>49.005286032105339</v>
      </c>
      <c r="M34" s="20"/>
      <c r="N34" s="13" t="s">
        <v>6</v>
      </c>
      <c r="O34" s="15">
        <v>0</v>
      </c>
      <c r="P34" s="15">
        <v>0</v>
      </c>
      <c r="Q34" s="15">
        <v>3.5999999999999997E-2</v>
      </c>
      <c r="S34" s="20"/>
      <c r="T34" s="13" t="s">
        <v>6</v>
      </c>
      <c r="U34" s="15" t="b">
        <f t="shared" ref="U34:U44" si="5">IF(O34&gt;=0.05, FALSE, TRUE)</f>
        <v>1</v>
      </c>
      <c r="V34" s="15" t="b">
        <f t="shared" si="0"/>
        <v>1</v>
      </c>
      <c r="W34" s="15" t="b">
        <f t="shared" si="0"/>
        <v>1</v>
      </c>
    </row>
    <row r="35" spans="1:23" x14ac:dyDescent="0.25">
      <c r="A35" s="20"/>
      <c r="B35" s="13" t="s">
        <v>8</v>
      </c>
      <c r="C35" s="15">
        <f t="shared" ref="C34:C36" si="6">($G$8-G6)/(SQRT(($L$8/50)+(L6/50)))</f>
        <v>15.016934231495298</v>
      </c>
      <c r="D35" s="15">
        <f t="shared" si="1"/>
        <v>34.558127142750529</v>
      </c>
      <c r="E35" s="15">
        <f t="shared" si="2"/>
        <v>-15.453323632903718</v>
      </c>
      <c r="G35" s="20"/>
      <c r="H35" s="13" t="s">
        <v>8</v>
      </c>
      <c r="I35" s="15">
        <f>49*(($L$8+L6)^2)/($L$8^2+L6^2)</f>
        <v>48.999999999999993</v>
      </c>
      <c r="J35" s="15">
        <f t="shared" si="3"/>
        <v>49.065225974318423</v>
      </c>
      <c r="K35" s="15">
        <f t="shared" si="4"/>
        <v>54.19434996399486</v>
      </c>
      <c r="M35" s="20"/>
      <c r="N35" s="13" t="s">
        <v>8</v>
      </c>
      <c r="O35" s="15">
        <v>0</v>
      </c>
      <c r="P35" s="15">
        <v>0</v>
      </c>
      <c r="Q35" s="15">
        <v>0</v>
      </c>
      <c r="S35" s="20"/>
      <c r="T35" s="13" t="s">
        <v>8</v>
      </c>
      <c r="U35" s="15" t="b">
        <f t="shared" si="5"/>
        <v>1</v>
      </c>
      <c r="V35" s="15" t="b">
        <f t="shared" si="0"/>
        <v>1</v>
      </c>
      <c r="W35" s="15" t="b">
        <f t="shared" si="0"/>
        <v>1</v>
      </c>
    </row>
    <row r="36" spans="1:23" x14ac:dyDescent="0.25">
      <c r="A36" s="20"/>
      <c r="B36" s="13" t="s">
        <v>7</v>
      </c>
      <c r="C36" s="15">
        <f t="shared" si="6"/>
        <v>15.016934231495298</v>
      </c>
      <c r="D36" s="15">
        <f t="shared" si="1"/>
        <v>34.59347350654209</v>
      </c>
      <c r="E36" s="15">
        <f t="shared" si="2"/>
        <v>-2.6261712740764942</v>
      </c>
      <c r="G36" s="20"/>
      <c r="H36" s="13" t="s">
        <v>7</v>
      </c>
      <c r="I36" s="15">
        <f t="shared" ref="I36" si="7">49*(($L$8+L7)^2)/($L$8^2+L7^2)</f>
        <v>48.999999999999993</v>
      </c>
      <c r="J36" s="15">
        <f t="shared" si="3"/>
        <v>49.000412546380751</v>
      </c>
      <c r="K36" s="15">
        <f t="shared" si="4"/>
        <v>49.004568799399379</v>
      </c>
      <c r="M36" s="20"/>
      <c r="N36" s="13" t="s">
        <v>7</v>
      </c>
      <c r="O36" s="15">
        <v>0</v>
      </c>
      <c r="P36" s="15">
        <v>0</v>
      </c>
      <c r="Q36" s="15">
        <v>1.0999999999999999E-2</v>
      </c>
      <c r="S36" s="20"/>
      <c r="T36" s="13" t="s">
        <v>7</v>
      </c>
      <c r="U36" s="15" t="b">
        <f t="shared" si="5"/>
        <v>1</v>
      </c>
      <c r="V36" s="15" t="b">
        <f t="shared" si="0"/>
        <v>1</v>
      </c>
      <c r="W36" s="15" t="b">
        <f t="shared" si="0"/>
        <v>1</v>
      </c>
    </row>
    <row r="37" spans="1:23" x14ac:dyDescent="0.25">
      <c r="A37" s="20" t="s">
        <v>2</v>
      </c>
      <c r="B37" s="13" t="s">
        <v>0</v>
      </c>
      <c r="C37" s="15">
        <f>($H$8-H4)/(SQRT(($M$8/50)+(M4/50)))</f>
        <v>4.1065547852803883</v>
      </c>
      <c r="D37" s="15">
        <f>($H$18-H14)/(SQRT(($M$18/50)+(M14/50)))</f>
        <v>-1.336004263945517</v>
      </c>
      <c r="E37" s="15">
        <f>($H$28-H24)/(SQRT(($M$28/50)+(M24/50)))</f>
        <v>-14.357267616480287</v>
      </c>
      <c r="G37" s="20" t="s">
        <v>2</v>
      </c>
      <c r="H37" s="13" t="s">
        <v>0</v>
      </c>
      <c r="I37" s="15">
        <f>49*(($M$8+M4)^2)/($M$8^2+M4^2)</f>
        <v>59.390881866789883</v>
      </c>
      <c r="J37" s="15">
        <f>49*(($M$18+M14^2)/($M$18^2+M14^2))</f>
        <v>48.999999903545607</v>
      </c>
      <c r="K37" s="15">
        <f>49*(($M$28+M24)^2)/($M$28^2+M24^2)</f>
        <v>49.000233327940535</v>
      </c>
      <c r="M37" s="20" t="s">
        <v>2</v>
      </c>
      <c r="N37" s="13" t="s">
        <v>0</v>
      </c>
      <c r="O37" s="15">
        <v>0</v>
      </c>
      <c r="P37" s="15">
        <v>0.186</v>
      </c>
      <c r="Q37" s="15">
        <v>0</v>
      </c>
      <c r="S37" s="20" t="s">
        <v>2</v>
      </c>
      <c r="T37" s="13" t="s">
        <v>0</v>
      </c>
      <c r="U37" s="15" t="b">
        <f t="shared" si="5"/>
        <v>1</v>
      </c>
      <c r="V37" s="15" t="b">
        <f t="shared" si="0"/>
        <v>0</v>
      </c>
      <c r="W37" s="15" t="b">
        <f t="shared" si="0"/>
        <v>1</v>
      </c>
    </row>
    <row r="38" spans="1:23" x14ac:dyDescent="0.25">
      <c r="A38" s="20"/>
      <c r="B38" s="13" t="s">
        <v>6</v>
      </c>
      <c r="C38" s="15">
        <f>($H$8-H5)/(SQRT(($M$8/50)+(M5/50)))</f>
        <v>2.3628015553210839</v>
      </c>
      <c r="D38" s="15">
        <f t="shared" ref="D38:D40" si="8">($H$18-H15)/(SQRT(($M$18/50)+(M15/50)))</f>
        <v>1.307755180439133</v>
      </c>
      <c r="E38" s="15">
        <f>($H$28-H25)/(SQRT(($M$28/50)+(M25/50)))</f>
        <v>-2.912118522274286</v>
      </c>
      <c r="G38" s="20"/>
      <c r="H38" s="13" t="s">
        <v>6</v>
      </c>
      <c r="I38" s="15">
        <f t="shared" ref="I38:I39" si="9">49*(($M$8+M5)^2)/($M$8^2+M5^2)</f>
        <v>97.117492578177377</v>
      </c>
      <c r="J38" s="15">
        <f t="shared" ref="J38:J40" si="10">49*(($M$18+M15^2)/($M$18^2+M15^2))</f>
        <v>17.755473952091204</v>
      </c>
      <c r="K38" s="15">
        <f t="shared" ref="K38:K40" si="11">49*(($M$28+M25)^2)/($M$28^2+M25^2)</f>
        <v>50.836323434490275</v>
      </c>
      <c r="M38" s="20"/>
      <c r="N38" s="13" t="s">
        <v>6</v>
      </c>
      <c r="O38" s="15">
        <v>0.02</v>
      </c>
      <c r="P38" s="15">
        <v>0.20680000000000001</v>
      </c>
      <c r="Q38" s="15">
        <v>5.0000000000000001E-3</v>
      </c>
      <c r="S38" s="20"/>
      <c r="T38" s="13" t="s">
        <v>6</v>
      </c>
      <c r="U38" s="15" t="b">
        <f t="shared" si="5"/>
        <v>1</v>
      </c>
      <c r="V38" s="15" t="b">
        <f t="shared" si="0"/>
        <v>0</v>
      </c>
      <c r="W38" s="15" t="b">
        <f t="shared" si="0"/>
        <v>1</v>
      </c>
    </row>
    <row r="39" spans="1:23" x14ac:dyDescent="0.25">
      <c r="A39" s="20"/>
      <c r="B39" s="13" t="s">
        <v>8</v>
      </c>
      <c r="C39" s="15">
        <f>($H$8-H6)/(SQRT(($M$8/50)+(M6/50)))</f>
        <v>-5.4093483529126578</v>
      </c>
      <c r="D39" s="15">
        <f t="shared" si="8"/>
        <v>3.2452134227996967</v>
      </c>
      <c r="E39" s="15">
        <f t="shared" ref="E38:E40" si="12">($H$28-H26)/(SQRT(($M$28/50)+(M26/50)))</f>
        <v>12.799593502509847</v>
      </c>
      <c r="G39" s="20"/>
      <c r="H39" s="13" t="s">
        <v>8</v>
      </c>
      <c r="I39" s="15">
        <f t="shared" si="9"/>
        <v>52.649927551145012</v>
      </c>
      <c r="J39" s="15">
        <f t="shared" si="10"/>
        <v>0.10561188682348209</v>
      </c>
      <c r="K39" s="15">
        <f t="shared" si="11"/>
        <v>51.068418509545609</v>
      </c>
      <c r="M39" s="20"/>
      <c r="N39" s="13" t="s">
        <v>8</v>
      </c>
      <c r="O39" s="15">
        <v>0</v>
      </c>
      <c r="P39" s="15">
        <v>0.72389999999999999</v>
      </c>
      <c r="Q39" s="15">
        <v>0</v>
      </c>
      <c r="S39" s="20"/>
      <c r="T39" s="13" t="s">
        <v>8</v>
      </c>
      <c r="U39" s="15" t="b">
        <f t="shared" si="5"/>
        <v>1</v>
      </c>
      <c r="V39" s="15" t="b">
        <f t="shared" si="0"/>
        <v>0</v>
      </c>
      <c r="W39" s="15" t="b">
        <f t="shared" si="0"/>
        <v>1</v>
      </c>
    </row>
    <row r="40" spans="1:23" x14ac:dyDescent="0.25">
      <c r="A40" s="20"/>
      <c r="B40" s="13" t="s">
        <v>7</v>
      </c>
      <c r="C40" s="15">
        <f t="shared" ref="C38:C40" si="13">($H$8-H7)/(SQRT(($M$8/50)+(M7/50)))</f>
        <v>1.9820457557715929</v>
      </c>
      <c r="D40" s="15">
        <f t="shared" si="8"/>
        <v>1.4392886442493646</v>
      </c>
      <c r="E40" s="15">
        <f t="shared" si="12"/>
        <v>-6.3873332037504227</v>
      </c>
      <c r="G40" s="20"/>
      <c r="H40" s="13" t="s">
        <v>7</v>
      </c>
      <c r="I40" s="15">
        <f>49*(($M$8+M7)^2)/($M$8^2+M7^2)</f>
        <v>97.80751432406062</v>
      </c>
      <c r="J40" s="15">
        <f t="shared" si="10"/>
        <v>19.339559474595973</v>
      </c>
      <c r="K40" s="15">
        <f t="shared" si="11"/>
        <v>81.99249740428408</v>
      </c>
      <c r="M40" s="20"/>
      <c r="N40" s="13" t="s">
        <v>7</v>
      </c>
      <c r="O40" s="15">
        <v>0.05</v>
      </c>
      <c r="P40" s="15">
        <v>0.1658</v>
      </c>
      <c r="Q40" s="15">
        <v>0</v>
      </c>
      <c r="S40" s="20"/>
      <c r="T40" s="13" t="s">
        <v>7</v>
      </c>
      <c r="U40" s="15" t="b">
        <f t="shared" si="5"/>
        <v>0</v>
      </c>
      <c r="V40" s="15" t="b">
        <f t="shared" si="0"/>
        <v>0</v>
      </c>
      <c r="W40" s="15" t="b">
        <f t="shared" si="0"/>
        <v>1</v>
      </c>
    </row>
    <row r="41" spans="1:23" x14ac:dyDescent="0.25">
      <c r="A41" s="20" t="s">
        <v>3</v>
      </c>
      <c r="B41" s="13" t="s">
        <v>0</v>
      </c>
      <c r="C41" s="15">
        <f>($I$8-I4)/(SQRT(($N$8/50)+(N4/50)))</f>
        <v>7.3081292398613922</v>
      </c>
      <c r="D41" s="15">
        <f>($I$18-I14)/(SQRT(($N$18/50)+(N14/50)))</f>
        <v>8.4042222794241237</v>
      </c>
      <c r="E41" s="15">
        <f>($I$28-I24)/(SQRT(($N$28/50)+(N24/50)))</f>
        <v>-23.025388518735014</v>
      </c>
      <c r="G41" s="20" t="s">
        <v>3</v>
      </c>
      <c r="H41" s="13" t="s">
        <v>0</v>
      </c>
      <c r="I41" s="15">
        <f>49*(($N$8+N4)^2)/($N$8^2+N4^2)</f>
        <v>69.687742517687042</v>
      </c>
      <c r="J41" s="15">
        <f>49*(($N$18+N14^2)/($N$18^2+N14^2))</f>
        <v>21.067297272909823</v>
      </c>
      <c r="K41" s="15">
        <f>49*(($N$28+N24)^2)/($N$28^2+N24^2)</f>
        <v>63.306000964040983</v>
      </c>
      <c r="M41" s="20" t="s">
        <v>3</v>
      </c>
      <c r="N41" s="13" t="s">
        <v>0</v>
      </c>
      <c r="O41" s="15">
        <v>0</v>
      </c>
      <c r="P41" s="15">
        <v>0</v>
      </c>
      <c r="Q41" s="15">
        <v>0</v>
      </c>
      <c r="S41" s="20" t="s">
        <v>3</v>
      </c>
      <c r="T41" s="13" t="s">
        <v>0</v>
      </c>
      <c r="U41" s="15" t="b">
        <f t="shared" si="5"/>
        <v>1</v>
      </c>
      <c r="V41" s="15" t="b">
        <f t="shared" si="0"/>
        <v>1</v>
      </c>
      <c r="W41" s="15" t="b">
        <f t="shared" si="0"/>
        <v>1</v>
      </c>
    </row>
    <row r="42" spans="1:23" x14ac:dyDescent="0.25">
      <c r="A42" s="20"/>
      <c r="B42" s="13" t="s">
        <v>6</v>
      </c>
      <c r="C42" s="15">
        <f t="shared" ref="C42:C44" si="14">($I$8-I5)/(SQRT(($N$8/50)+(N5/50)))</f>
        <v>5.2022249364804711</v>
      </c>
      <c r="D42" s="15">
        <f t="shared" ref="D42:D44" si="15">($I$18-I15)/(SQRT(($N$18/50)+(N15/50)))</f>
        <v>-0.1898242230202182</v>
      </c>
      <c r="E42" s="15">
        <f t="shared" ref="E42:E44" si="16">($I$28-I25)/(SQRT(($N$28/50)+(N25/50)))</f>
        <v>14.008134172310912</v>
      </c>
      <c r="G42" s="20"/>
      <c r="H42" s="13" t="s">
        <v>6</v>
      </c>
      <c r="I42" s="15">
        <f t="shared" ref="I42:I44" si="17">49*(($N$8+N5)^2)/($N$8^2+N5^2)</f>
        <v>77.729346209006025</v>
      </c>
      <c r="J42" s="15">
        <f t="shared" ref="J42:J44" si="18">49*(($N$18+N15^2)/($N$18^2+N15^2))</f>
        <v>40.341607542705738</v>
      </c>
      <c r="K42" s="15">
        <f t="shared" ref="K42:K44" si="19">49*(($N$28+N25)^2)/($N$28^2+N25^2)</f>
        <v>89.039502182025473</v>
      </c>
      <c r="M42" s="20"/>
      <c r="N42" s="13" t="s">
        <v>6</v>
      </c>
      <c r="O42" s="15">
        <v>0</v>
      </c>
      <c r="P42" s="15">
        <v>0.85</v>
      </c>
      <c r="Q42" s="15">
        <v>0</v>
      </c>
      <c r="S42" s="20"/>
      <c r="T42" s="13" t="s">
        <v>6</v>
      </c>
      <c r="U42" s="15" t="b">
        <f t="shared" si="5"/>
        <v>1</v>
      </c>
      <c r="V42" s="15" t="b">
        <f t="shared" si="0"/>
        <v>0</v>
      </c>
      <c r="W42" s="15" t="b">
        <f t="shared" si="0"/>
        <v>1</v>
      </c>
    </row>
    <row r="43" spans="1:23" x14ac:dyDescent="0.25">
      <c r="A43" s="20"/>
      <c r="B43" s="13" t="s">
        <v>8</v>
      </c>
      <c r="C43" s="15">
        <f t="shared" si="14"/>
        <v>7.5297324900248013</v>
      </c>
      <c r="D43" s="15">
        <f t="shared" si="15"/>
        <v>18.460734555717615</v>
      </c>
      <c r="E43" s="15">
        <f t="shared" si="16"/>
        <v>39.974044543249022</v>
      </c>
      <c r="G43" s="20"/>
      <c r="H43" s="13" t="s">
        <v>8</v>
      </c>
      <c r="I43" s="15">
        <f t="shared" si="17"/>
        <v>66.640105132583258</v>
      </c>
      <c r="J43" s="15">
        <f t="shared" si="18"/>
        <v>0.80954366422511148</v>
      </c>
      <c r="K43" s="15">
        <f t="shared" si="19"/>
        <v>52.141701945372176</v>
      </c>
      <c r="M43" s="20"/>
      <c r="N43" s="13" t="s">
        <v>8</v>
      </c>
      <c r="O43" s="15">
        <v>0</v>
      </c>
      <c r="P43" s="15">
        <v>5.8000000000000003E-2</v>
      </c>
      <c r="Q43" s="15">
        <v>0</v>
      </c>
      <c r="S43" s="20"/>
      <c r="T43" s="13" t="s">
        <v>8</v>
      </c>
      <c r="U43" s="15" t="b">
        <f t="shared" si="5"/>
        <v>1</v>
      </c>
      <c r="V43" s="15" t="b">
        <f t="shared" si="0"/>
        <v>0</v>
      </c>
      <c r="W43" s="15" t="b">
        <f t="shared" si="0"/>
        <v>1</v>
      </c>
    </row>
    <row r="44" spans="1:23" x14ac:dyDescent="0.25">
      <c r="A44" s="20"/>
      <c r="B44" s="13" t="s">
        <v>7</v>
      </c>
      <c r="C44" s="15">
        <f t="shared" si="14"/>
        <v>1.4582527696540224</v>
      </c>
      <c r="D44" s="15">
        <f t="shared" si="15"/>
        <v>0.33901315016312028</v>
      </c>
      <c r="E44" s="15">
        <f t="shared" si="16"/>
        <v>-2.6850172611730732</v>
      </c>
      <c r="G44" s="20"/>
      <c r="H44" s="13" t="s">
        <v>7</v>
      </c>
      <c r="I44" s="15">
        <f t="shared" si="17"/>
        <v>95.726557977854853</v>
      </c>
      <c r="J44" s="15">
        <f t="shared" si="18"/>
        <v>30.580884209829463</v>
      </c>
      <c r="K44" s="15">
        <f t="shared" si="19"/>
        <v>95.248577950096703</v>
      </c>
      <c r="M44" s="20"/>
      <c r="N44" s="13" t="s">
        <v>7</v>
      </c>
      <c r="O44" s="15">
        <v>0.14749999999999999</v>
      </c>
      <c r="P44" s="15">
        <v>0.73599999999999999</v>
      </c>
      <c r="Q44" s="15">
        <v>8.0000000000000002E-3</v>
      </c>
      <c r="S44" s="20"/>
      <c r="T44" s="13" t="s">
        <v>7</v>
      </c>
      <c r="U44" s="15" t="b">
        <f t="shared" si="5"/>
        <v>0</v>
      </c>
      <c r="V44" s="15" t="b">
        <f t="shared" si="0"/>
        <v>0</v>
      </c>
      <c r="W44" s="15" t="b">
        <f t="shared" si="0"/>
        <v>1</v>
      </c>
    </row>
    <row r="48" spans="1:23" x14ac:dyDescent="0.25">
      <c r="M48" t="s">
        <v>45</v>
      </c>
    </row>
    <row r="49" spans="13:23" x14ac:dyDescent="0.25">
      <c r="M49" s="17" t="s">
        <v>43</v>
      </c>
      <c r="N49" s="16" t="s">
        <v>29</v>
      </c>
      <c r="O49" s="16" t="s">
        <v>31</v>
      </c>
      <c r="P49" s="16" t="s">
        <v>32</v>
      </c>
      <c r="Q49" s="16" t="s">
        <v>33</v>
      </c>
      <c r="S49" s="17" t="s">
        <v>46</v>
      </c>
      <c r="T49" s="16" t="s">
        <v>29</v>
      </c>
      <c r="U49" s="16" t="s">
        <v>31</v>
      </c>
      <c r="V49" s="16" t="s">
        <v>32</v>
      </c>
      <c r="W49" s="16" t="s">
        <v>33</v>
      </c>
    </row>
    <row r="50" spans="13:23" x14ac:dyDescent="0.25">
      <c r="M50" s="20" t="s">
        <v>1</v>
      </c>
      <c r="N50" s="13" t="s">
        <v>0</v>
      </c>
      <c r="O50" s="15">
        <v>1</v>
      </c>
      <c r="P50" s="15">
        <v>0.01</v>
      </c>
      <c r="Q50" s="15">
        <v>0</v>
      </c>
      <c r="S50" s="20" t="s">
        <v>1</v>
      </c>
      <c r="T50" s="13" t="s">
        <v>0</v>
      </c>
      <c r="U50" s="22" t="str">
        <f>IF(O50&gt;=0.05, "WORSE", "BETTER")</f>
        <v>WORSE</v>
      </c>
      <c r="V50" s="22" t="str">
        <f t="shared" ref="V50:W61" si="20">IF(P50&gt;=0.05, "WORSE", "BETTER")</f>
        <v>BETTER</v>
      </c>
      <c r="W50" s="22" t="str">
        <f t="shared" si="20"/>
        <v>BETTER</v>
      </c>
    </row>
    <row r="51" spans="13:23" x14ac:dyDescent="0.25">
      <c r="M51" s="20"/>
      <c r="N51" s="13" t="s">
        <v>6</v>
      </c>
      <c r="O51" s="15">
        <v>1</v>
      </c>
      <c r="P51" s="15">
        <v>1</v>
      </c>
      <c r="Q51" s="15">
        <v>1.7999999999999999E-2</v>
      </c>
      <c r="S51" s="20"/>
      <c r="T51" s="13" t="s">
        <v>6</v>
      </c>
      <c r="U51" s="22" t="str">
        <f t="shared" ref="U51:U61" si="21">IF(O51&gt;=0.05, "WORSE", "BETTER")</f>
        <v>WORSE</v>
      </c>
      <c r="V51" s="22" t="str">
        <f t="shared" si="20"/>
        <v>WORSE</v>
      </c>
      <c r="W51" s="22" t="str">
        <f t="shared" si="20"/>
        <v>BETTER</v>
      </c>
    </row>
    <row r="52" spans="13:23" x14ac:dyDescent="0.25">
      <c r="M52" s="20"/>
      <c r="N52" s="13" t="s">
        <v>8</v>
      </c>
      <c r="O52" s="15">
        <v>1</v>
      </c>
      <c r="P52" s="15">
        <v>1</v>
      </c>
      <c r="Q52" s="15">
        <v>0</v>
      </c>
      <c r="S52" s="20"/>
      <c r="T52" s="13" t="s">
        <v>8</v>
      </c>
      <c r="U52" s="22" t="str">
        <f t="shared" si="21"/>
        <v>WORSE</v>
      </c>
      <c r="V52" s="22" t="str">
        <f t="shared" si="20"/>
        <v>WORSE</v>
      </c>
      <c r="W52" s="22" t="str">
        <f t="shared" si="20"/>
        <v>BETTER</v>
      </c>
    </row>
    <row r="53" spans="13:23" x14ac:dyDescent="0.25">
      <c r="M53" s="20"/>
      <c r="N53" s="13" t="s">
        <v>7</v>
      </c>
      <c r="O53" s="15">
        <v>1</v>
      </c>
      <c r="P53" s="15">
        <v>1</v>
      </c>
      <c r="Q53" s="15">
        <v>5.0000000000000001E-3</v>
      </c>
      <c r="S53" s="20"/>
      <c r="T53" s="13" t="s">
        <v>7</v>
      </c>
      <c r="U53" s="22" t="str">
        <f t="shared" si="21"/>
        <v>WORSE</v>
      </c>
      <c r="V53" s="22" t="str">
        <f t="shared" si="20"/>
        <v>WORSE</v>
      </c>
      <c r="W53" s="22" t="str">
        <f t="shared" si="20"/>
        <v>BETTER</v>
      </c>
    </row>
    <row r="54" spans="13:23" x14ac:dyDescent="0.25">
      <c r="M54" s="20" t="s">
        <v>2</v>
      </c>
      <c r="N54" s="13" t="s">
        <v>0</v>
      </c>
      <c r="O54" s="15">
        <v>1</v>
      </c>
      <c r="P54" s="15">
        <v>9.2999999999999999E-2</v>
      </c>
      <c r="Q54" s="15">
        <v>0</v>
      </c>
      <c r="S54" s="20" t="s">
        <v>2</v>
      </c>
      <c r="T54" s="13" t="s">
        <v>0</v>
      </c>
      <c r="U54" s="22" t="str">
        <f t="shared" si="21"/>
        <v>WORSE</v>
      </c>
      <c r="V54" s="22" t="str">
        <f t="shared" si="20"/>
        <v>WORSE</v>
      </c>
      <c r="W54" s="22" t="str">
        <f t="shared" si="20"/>
        <v>BETTER</v>
      </c>
    </row>
    <row r="55" spans="13:23" x14ac:dyDescent="0.25">
      <c r="M55" s="20"/>
      <c r="N55" s="13" t="s">
        <v>6</v>
      </c>
      <c r="O55" s="15">
        <v>1</v>
      </c>
      <c r="P55" s="15">
        <v>0.89649999999999996</v>
      </c>
      <c r="Q55" s="15">
        <v>2.5999999999999999E-3</v>
      </c>
      <c r="S55" s="20"/>
      <c r="T55" s="13" t="s">
        <v>6</v>
      </c>
      <c r="U55" s="22" t="str">
        <f t="shared" si="21"/>
        <v>WORSE</v>
      </c>
      <c r="V55" s="22" t="str">
        <f t="shared" si="20"/>
        <v>WORSE</v>
      </c>
      <c r="W55" s="22" t="str">
        <f t="shared" si="20"/>
        <v>BETTER</v>
      </c>
    </row>
    <row r="56" spans="13:23" x14ac:dyDescent="0.25">
      <c r="M56" s="20"/>
      <c r="N56" s="13" t="s">
        <v>8</v>
      </c>
      <c r="O56" s="15">
        <v>0</v>
      </c>
      <c r="P56" s="15">
        <v>0.63800000000000001</v>
      </c>
      <c r="Q56" s="15">
        <v>1</v>
      </c>
      <c r="S56" s="20"/>
      <c r="T56" s="13" t="s">
        <v>8</v>
      </c>
      <c r="U56" s="22" t="str">
        <f t="shared" si="21"/>
        <v>BETTER</v>
      </c>
      <c r="V56" s="22" t="str">
        <f t="shared" si="20"/>
        <v>WORSE</v>
      </c>
      <c r="W56" s="22" t="str">
        <f t="shared" si="20"/>
        <v>WORSE</v>
      </c>
    </row>
    <row r="57" spans="13:23" x14ac:dyDescent="0.25">
      <c r="M57" s="20"/>
      <c r="N57" s="13" t="s">
        <v>7</v>
      </c>
      <c r="O57" s="15">
        <v>0.97</v>
      </c>
      <c r="P57" s="15">
        <v>0.91</v>
      </c>
      <c r="Q57" s="15">
        <v>0</v>
      </c>
      <c r="S57" s="20"/>
      <c r="T57" s="13" t="s">
        <v>7</v>
      </c>
      <c r="U57" s="22" t="str">
        <f t="shared" si="21"/>
        <v>WORSE</v>
      </c>
      <c r="V57" s="22" t="str">
        <f t="shared" si="20"/>
        <v>WORSE</v>
      </c>
      <c r="W57" s="22" t="str">
        <f t="shared" si="20"/>
        <v>BETTER</v>
      </c>
    </row>
    <row r="58" spans="13:23" x14ac:dyDescent="0.25">
      <c r="M58" s="20" t="s">
        <v>3</v>
      </c>
      <c r="N58" s="13" t="s">
        <v>0</v>
      </c>
      <c r="O58" s="15">
        <v>1</v>
      </c>
      <c r="P58" s="15">
        <v>1</v>
      </c>
      <c r="Q58" s="15">
        <v>0</v>
      </c>
      <c r="S58" s="20" t="s">
        <v>3</v>
      </c>
      <c r="T58" s="13" t="s">
        <v>0</v>
      </c>
      <c r="U58" s="22" t="str">
        <f t="shared" si="21"/>
        <v>WORSE</v>
      </c>
      <c r="V58" s="22" t="str">
        <f t="shared" si="20"/>
        <v>WORSE</v>
      </c>
      <c r="W58" s="22" t="str">
        <f t="shared" si="20"/>
        <v>BETTER</v>
      </c>
    </row>
    <row r="59" spans="13:23" x14ac:dyDescent="0.25">
      <c r="M59" s="20"/>
      <c r="N59" s="13" t="s">
        <v>6</v>
      </c>
      <c r="O59" s="15">
        <v>1</v>
      </c>
      <c r="P59" s="15">
        <v>0.42499999999999999</v>
      </c>
      <c r="Q59" s="15">
        <v>1</v>
      </c>
      <c r="S59" s="20"/>
      <c r="T59" s="13" t="s">
        <v>6</v>
      </c>
      <c r="U59" s="22" t="str">
        <f t="shared" si="21"/>
        <v>WORSE</v>
      </c>
      <c r="V59" s="22" t="str">
        <f t="shared" si="20"/>
        <v>WORSE</v>
      </c>
      <c r="W59" s="22" t="str">
        <f t="shared" si="20"/>
        <v>WORSE</v>
      </c>
    </row>
    <row r="60" spans="13:23" x14ac:dyDescent="0.25">
      <c r="M60" s="20"/>
      <c r="N60" s="13" t="s">
        <v>8</v>
      </c>
      <c r="O60" s="15">
        <v>1</v>
      </c>
      <c r="P60" s="15">
        <v>0.97</v>
      </c>
      <c r="Q60" s="15">
        <v>1</v>
      </c>
      <c r="S60" s="20"/>
      <c r="T60" s="13" t="s">
        <v>8</v>
      </c>
      <c r="U60" s="22" t="str">
        <f t="shared" si="21"/>
        <v>WORSE</v>
      </c>
      <c r="V60" s="22" t="str">
        <f t="shared" si="20"/>
        <v>WORSE</v>
      </c>
      <c r="W60" s="22" t="str">
        <f t="shared" si="20"/>
        <v>WORSE</v>
      </c>
    </row>
    <row r="61" spans="13:23" x14ac:dyDescent="0.25">
      <c r="M61" s="20"/>
      <c r="N61" s="13" t="s">
        <v>7</v>
      </c>
      <c r="O61" s="15">
        <v>0.92600000000000005</v>
      </c>
      <c r="P61" s="15">
        <v>0.63</v>
      </c>
      <c r="Q61" s="15">
        <v>4.0000000000000001E-3</v>
      </c>
      <c r="S61" s="20"/>
      <c r="T61" s="13" t="s">
        <v>7</v>
      </c>
      <c r="U61" s="22" t="str">
        <f t="shared" si="21"/>
        <v>WORSE</v>
      </c>
      <c r="V61" s="22" t="str">
        <f t="shared" si="20"/>
        <v>WORSE</v>
      </c>
      <c r="W61" s="22" t="str">
        <f t="shared" si="20"/>
        <v>BETTER</v>
      </c>
    </row>
  </sheetData>
  <mergeCells count="27">
    <mergeCell ref="M50:M53"/>
    <mergeCell ref="S50:S53"/>
    <mergeCell ref="M54:M57"/>
    <mergeCell ref="S54:S57"/>
    <mergeCell ref="M58:M61"/>
    <mergeCell ref="S58:S61"/>
    <mergeCell ref="K2:N2"/>
    <mergeCell ref="K12:N12"/>
    <mergeCell ref="K22:N22"/>
    <mergeCell ref="A33:A36"/>
    <mergeCell ref="A37:A40"/>
    <mergeCell ref="A2:D2"/>
    <mergeCell ref="A12:D12"/>
    <mergeCell ref="A22:D22"/>
    <mergeCell ref="F2:I2"/>
    <mergeCell ref="F12:I12"/>
    <mergeCell ref="F22:I22"/>
    <mergeCell ref="S33:S36"/>
    <mergeCell ref="S37:S40"/>
    <mergeCell ref="S41:S44"/>
    <mergeCell ref="A41:A44"/>
    <mergeCell ref="G33:G36"/>
    <mergeCell ref="G37:G40"/>
    <mergeCell ref="G41:G44"/>
    <mergeCell ref="M33:M36"/>
    <mergeCell ref="M37:M40"/>
    <mergeCell ref="M41:M44"/>
  </mergeCells>
  <conditionalFormatting sqref="U33:W44">
    <cfRule type="cellIs" dxfId="3" priority="5" operator="equal">
      <formula>TRUE</formula>
    </cfRule>
    <cfRule type="cellIs" dxfId="2" priority="6" operator="equal">
      <formula>FALSE</formula>
    </cfRule>
  </conditionalFormatting>
  <conditionalFormatting sqref="U50:W61">
    <cfRule type="cellIs" dxfId="0" priority="1" operator="equal">
      <formula>"BETTER"</formula>
    </cfRule>
    <cfRule type="cellIs" dxfId="1" priority="2" operator="equal">
      <formula>"WORSE"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</vt:lpstr>
      <vt:lpstr>PSO</vt:lpstr>
      <vt:lpstr>FIPS</vt:lpstr>
      <vt:lpstr>Hybrid_PSO</vt:lpstr>
      <vt:lpstr>GA-Boids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Affan Dhankwala</dc:creator>
  <cp:lastModifiedBy>Mohamed Affan Dhankwala</cp:lastModifiedBy>
  <dcterms:created xsi:type="dcterms:W3CDTF">2025-11-12T03:25:32Z</dcterms:created>
  <dcterms:modified xsi:type="dcterms:W3CDTF">2025-11-16T17:30:06Z</dcterms:modified>
</cp:coreProperties>
</file>